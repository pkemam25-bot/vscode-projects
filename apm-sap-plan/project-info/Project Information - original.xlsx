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pttep.sharepoint.com/teams/DigitalX/Shared Documents/10 PMO/01 Digital Project Management/Asset production/02 Digital project management/S1 AI advisory flowline backpressure optimization/02 Proposal and Procurement/"/>
    </mc:Choice>
  </mc:AlternateContent>
  <xr:revisionPtr revIDLastSave="0" documentId="8_{8A603799-4788-4BB4-89DE-EF62C8DD7277}" xr6:coauthVersionLast="47" xr6:coauthVersionMax="47" xr10:uidLastSave="{00000000-0000-0000-0000-000000000000}"/>
  <bookViews>
    <workbookView xWindow="0" yWindow="600" windowWidth="24220" windowHeight="15500" firstSheet="9" activeTab="9" xr2:uid="{3C1A91D6-4923-4560-A654-A246D5FF8AB3}"/>
  </bookViews>
  <sheets>
    <sheet name="Resource Plan" sheetId="1" r:id="rId1"/>
    <sheet name="Maintain List" sheetId="5" r:id="rId2"/>
    <sheet name="FTE Plan - revise (bk1)" sheetId="12" state="hidden" r:id="rId3"/>
    <sheet name="FTE Plan - revise (bk2)" sheetId="14" state="hidden" r:id="rId4"/>
    <sheet name="Q&amp;A" sheetId="10" r:id="rId5"/>
    <sheet name="FTE Plan - revise" sheetId="13" r:id="rId6"/>
    <sheet name="FTE Plan - revise(bk 20260417)" sheetId="7" state="hidden" r:id="rId7"/>
    <sheet name="Project Plan (bk1)" sheetId="11" state="hidden" r:id="rId8"/>
    <sheet name="FTE Plan - revise (3) 20260424)" sheetId="16" state="hidden" r:id="rId9"/>
    <sheet name="Project Plan" sheetId="9" r:id="rId10"/>
    <sheet name="Project Plan (2)" sheetId="15" state="hidden" r:id="rId11"/>
    <sheet name="Project Plan (BK2)" sheetId="19" state="hidden" r:id="rId12"/>
    <sheet name="Risk Issue" sheetId="18" r:id="rId13"/>
  </sheets>
  <definedNames>
    <definedName name="_xlnm._FilterDatabase" localSheetId="5" hidden="1">'FTE Plan - revise'!$A$3:$AE$3</definedName>
    <definedName name="_xlnm._FilterDatabase" localSheetId="8" hidden="1">'FTE Plan - revise (3) 20260424)'!$A$3:$AE$3</definedName>
    <definedName name="_xlnm._FilterDatabase" localSheetId="3" hidden="1">'FTE Plan - revise (bk2)'!$A$3:$AE$3</definedName>
    <definedName name="_xlnm._FilterDatabase" localSheetId="6" hidden="1">'FTE Plan - revise(bk 20260417)'!$A$3:$AE$3</definedName>
    <definedName name="_xlnm._FilterDatabase" localSheetId="12" hidden="1">'Risk Issue'!$A$1:$S$7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9" l="1"/>
  <c r="E24" i="19"/>
  <c r="E23" i="19"/>
  <c r="E21" i="19"/>
  <c r="E20" i="19"/>
  <c r="E19" i="19"/>
  <c r="E18" i="19"/>
  <c r="E17" i="19"/>
  <c r="E16" i="19"/>
  <c r="E15" i="19"/>
  <c r="E14" i="19"/>
  <c r="E13" i="19"/>
  <c r="F12" i="19"/>
  <c r="E12" i="19"/>
  <c r="E10" i="19"/>
  <c r="E9" i="19"/>
  <c r="F8" i="19"/>
  <c r="E8" i="19"/>
  <c r="I5" i="19"/>
  <c r="J5" i="19" s="1"/>
  <c r="K5" i="19" s="1"/>
  <c r="L5" i="19" s="1"/>
  <c r="M5" i="19" s="1"/>
  <c r="N5" i="19" s="1"/>
  <c r="O5" i="19" s="1"/>
  <c r="P5" i="19" s="1"/>
  <c r="Q5" i="19" s="1"/>
  <c r="R5" i="19" s="1"/>
  <c r="S5" i="19" s="1"/>
  <c r="T5" i="19" s="1"/>
  <c r="U5" i="19" s="1"/>
  <c r="V5" i="19" s="1"/>
  <c r="W5" i="19" s="1"/>
  <c r="X5" i="19" s="1"/>
  <c r="Y5" i="19" s="1"/>
  <c r="Z5" i="19" s="1"/>
  <c r="AA5" i="19" s="1"/>
  <c r="AB5" i="19" s="1"/>
  <c r="AC5" i="19" s="1"/>
  <c r="AD5" i="19" s="1"/>
  <c r="AE5" i="19" s="1"/>
  <c r="AF5" i="19" s="1"/>
  <c r="AG5" i="19" s="1"/>
  <c r="AH5" i="19" s="1"/>
  <c r="AI5" i="19" s="1"/>
  <c r="AJ5" i="19" s="1"/>
  <c r="AK5" i="19" s="1"/>
  <c r="AL5" i="19" s="1"/>
  <c r="AM5" i="19" s="1"/>
  <c r="AN5" i="19" s="1"/>
  <c r="AO5" i="19" s="1"/>
  <c r="AP5" i="19" s="1"/>
  <c r="AQ5" i="19" s="1"/>
  <c r="AR5" i="19" s="1"/>
  <c r="AS5" i="19" s="1"/>
  <c r="AT5" i="19" s="1"/>
  <c r="AU5" i="19" s="1"/>
  <c r="AV5" i="19" s="1"/>
  <c r="AW5" i="19" s="1"/>
  <c r="AX5" i="19" s="1"/>
  <c r="AY5" i="19" s="1"/>
  <c r="AZ5" i="19" s="1"/>
  <c r="BA5" i="19" s="1"/>
  <c r="BB5" i="19" s="1"/>
  <c r="BC5" i="19" s="1"/>
  <c r="BD5" i="19" s="1"/>
  <c r="BE5" i="19" s="1"/>
  <c r="BF5" i="19" s="1"/>
  <c r="BG5" i="19" s="1"/>
  <c r="BH5" i="19" s="1"/>
  <c r="BI5" i="19" s="1"/>
  <c r="BJ5" i="19" s="1"/>
  <c r="BK5" i="19" s="1"/>
  <c r="BL5" i="19" s="1"/>
  <c r="BM5" i="19" s="1"/>
  <c r="BN5" i="19" s="1"/>
  <c r="BO5" i="19" s="1"/>
  <c r="BP5" i="19" s="1"/>
  <c r="BQ5" i="19" s="1"/>
  <c r="BR5" i="19" s="1"/>
  <c r="BS5" i="19" s="1"/>
  <c r="BT5" i="19" s="1"/>
  <c r="BQ4" i="19" s="1"/>
  <c r="U12" i="16"/>
  <c r="T12" i="16"/>
  <c r="S12" i="16"/>
  <c r="R12" i="16"/>
  <c r="Q12" i="16"/>
  <c r="P12" i="16"/>
  <c r="O12" i="16"/>
  <c r="N12" i="16"/>
  <c r="M12" i="16"/>
  <c r="L12" i="16"/>
  <c r="K12" i="16"/>
  <c r="J12" i="16"/>
  <c r="E8" i="9"/>
  <c r="E9" i="9"/>
  <c r="E10" i="9"/>
  <c r="E12" i="9"/>
  <c r="E13" i="9"/>
  <c r="E14" i="9"/>
  <c r="E15" i="9"/>
  <c r="E16" i="9"/>
  <c r="E17" i="9"/>
  <c r="E18" i="9"/>
  <c r="E19" i="9"/>
  <c r="E20" i="9"/>
  <c r="E22" i="9"/>
  <c r="E23" i="9"/>
  <c r="E25" i="9"/>
  <c r="F12" i="9"/>
  <c r="F8" i="9"/>
  <c r="B1" i="9" s="1"/>
  <c r="F5" i="15"/>
  <c r="G5" i="15" s="1"/>
  <c r="H5" i="15" s="1"/>
  <c r="I5" i="15" s="1"/>
  <c r="J5" i="15" s="1"/>
  <c r="K5" i="15" s="1"/>
  <c r="L5" i="15" s="1"/>
  <c r="M5" i="15" s="1"/>
  <c r="N5" i="15" s="1"/>
  <c r="O5" i="15" s="1"/>
  <c r="P5" i="15" s="1"/>
  <c r="Q5" i="15" s="1"/>
  <c r="R5" i="15" s="1"/>
  <c r="S5" i="15" s="1"/>
  <c r="T5" i="15" s="1"/>
  <c r="U5" i="15" s="1"/>
  <c r="V5" i="15" s="1"/>
  <c r="W5" i="15" s="1"/>
  <c r="X5" i="15" s="1"/>
  <c r="Y5" i="15" s="1"/>
  <c r="Z5" i="15" s="1"/>
  <c r="AA5" i="15" s="1"/>
  <c r="AB5" i="15" s="1"/>
  <c r="AC5" i="15" s="1"/>
  <c r="AD5" i="15" s="1"/>
  <c r="AE5" i="15" s="1"/>
  <c r="AF5" i="15" s="1"/>
  <c r="AG5" i="15" s="1"/>
  <c r="AH5" i="15" s="1"/>
  <c r="AI5" i="15" s="1"/>
  <c r="AJ5" i="15" s="1"/>
  <c r="AK5" i="15" s="1"/>
  <c r="AL5" i="15" s="1"/>
  <c r="AM5" i="15" s="1"/>
  <c r="AN5" i="15" s="1"/>
  <c r="AO5" i="15" s="1"/>
  <c r="AP5" i="15" s="1"/>
  <c r="AQ5" i="15" s="1"/>
  <c r="AR5" i="15" s="1"/>
  <c r="AS5" i="15" s="1"/>
  <c r="AT5" i="15" s="1"/>
  <c r="AU5" i="15" s="1"/>
  <c r="AV5" i="15" s="1"/>
  <c r="AW5" i="15" s="1"/>
  <c r="AX5" i="15" s="1"/>
  <c r="AY5" i="15" s="1"/>
  <c r="AZ5" i="15" s="1"/>
  <c r="BA5" i="15" s="1"/>
  <c r="BB5" i="15" s="1"/>
  <c r="BC5" i="15" s="1"/>
  <c r="BD5" i="15" s="1"/>
  <c r="BE5" i="15" s="1"/>
  <c r="BF5" i="15" s="1"/>
  <c r="BG5" i="15" s="1"/>
  <c r="BH5" i="15" s="1"/>
  <c r="BI5" i="15" s="1"/>
  <c r="BJ5" i="15" s="1"/>
  <c r="BK5" i="15" s="1"/>
  <c r="BL5" i="15" s="1"/>
  <c r="BM5" i="15" s="1"/>
  <c r="BN5" i="15" s="1"/>
  <c r="BO5" i="15" s="1"/>
  <c r="BP5" i="15" s="1"/>
  <c r="BQ5" i="15" s="1"/>
  <c r="BN4" i="15" s="1"/>
  <c r="B2" i="15"/>
  <c r="B1" i="15"/>
  <c r="U12" i="14"/>
  <c r="T12" i="14"/>
  <c r="S12" i="14"/>
  <c r="R12" i="14"/>
  <c r="Q12" i="14"/>
  <c r="P12" i="14"/>
  <c r="O12" i="14"/>
  <c r="N12" i="14"/>
  <c r="M12" i="14"/>
  <c r="L12" i="14"/>
  <c r="K12" i="14"/>
  <c r="J12" i="14"/>
  <c r="U12" i="13"/>
  <c r="T12" i="13"/>
  <c r="S12" i="13"/>
  <c r="R12" i="13"/>
  <c r="Q12" i="13"/>
  <c r="P12" i="13"/>
  <c r="O12" i="13"/>
  <c r="N12" i="13"/>
  <c r="M12" i="13"/>
  <c r="L12" i="13"/>
  <c r="K12" i="13"/>
  <c r="J12" i="13"/>
  <c r="J12" i="7"/>
  <c r="L12" i="7"/>
  <c r="M12" i="7"/>
  <c r="N12" i="7"/>
  <c r="O12" i="7"/>
  <c r="P12" i="7"/>
  <c r="Q12" i="7"/>
  <c r="R12" i="7"/>
  <c r="S12" i="7"/>
  <c r="T12" i="7"/>
  <c r="U12" i="7"/>
  <c r="K12" i="7"/>
  <c r="W13" i="12"/>
  <c r="V13" i="12"/>
  <c r="U13" i="12"/>
  <c r="T13" i="12"/>
  <c r="S13" i="12"/>
  <c r="R13" i="12"/>
  <c r="Q13" i="12"/>
  <c r="P13" i="12"/>
  <c r="O13" i="12"/>
  <c r="N13" i="12"/>
  <c r="M13" i="12"/>
  <c r="L13" i="12"/>
  <c r="F5" i="11"/>
  <c r="G5" i="11" s="1"/>
  <c r="H5" i="11" s="1"/>
  <c r="I5" i="11" s="1"/>
  <c r="J5" i="11" s="1"/>
  <c r="K5" i="11" s="1"/>
  <c r="L5" i="11" s="1"/>
  <c r="M5" i="11" s="1"/>
  <c r="I5" i="9"/>
  <c r="J5" i="9" s="1"/>
  <c r="K5" i="9" s="1"/>
  <c r="L5" i="9" s="1"/>
  <c r="M5" i="9" s="1"/>
  <c r="N5" i="9" s="1"/>
  <c r="O5" i="9" s="1"/>
  <c r="P5" i="9" s="1"/>
  <c r="Q5" i="9" s="1"/>
  <c r="R5" i="9" s="1"/>
  <c r="S5" i="9" s="1"/>
  <c r="T5" i="9" s="1"/>
  <c r="U5" i="9" s="1"/>
  <c r="V5" i="9" s="1"/>
  <c r="W5" i="9" s="1"/>
  <c r="X5" i="9" s="1"/>
  <c r="Y5" i="9" s="1"/>
  <c r="Z5" i="9" s="1"/>
  <c r="AA5" i="9" s="1"/>
  <c r="AB5" i="9" s="1"/>
  <c r="AC5" i="9" s="1"/>
  <c r="AD5" i="9" s="1"/>
  <c r="AE5" i="9" s="1"/>
  <c r="AF5" i="9" s="1"/>
  <c r="AG5" i="9" s="1"/>
  <c r="AH5" i="9" s="1"/>
  <c r="AI5" i="9" s="1"/>
  <c r="AJ5" i="9" s="1"/>
  <c r="AK5" i="9" s="1"/>
  <c r="AL5" i="9" s="1"/>
  <c r="AM5" i="9" s="1"/>
  <c r="AN5" i="9" s="1"/>
  <c r="AO5" i="9" s="1"/>
  <c r="AP5" i="9" s="1"/>
  <c r="AQ5" i="9" s="1"/>
  <c r="AR5" i="9" s="1"/>
  <c r="AS5" i="9" s="1"/>
  <c r="AT5" i="9" s="1"/>
  <c r="AU5" i="9" s="1"/>
  <c r="AV5" i="9" s="1"/>
  <c r="AW5" i="9" s="1"/>
  <c r="AX5" i="9" s="1"/>
  <c r="AY5" i="9" s="1"/>
  <c r="AZ5" i="9" s="1"/>
  <c r="BA5" i="9" s="1"/>
  <c r="BB5" i="9" s="1"/>
  <c r="BC5" i="9" s="1"/>
  <c r="BD5" i="9" s="1"/>
  <c r="BE5" i="9" s="1"/>
  <c r="BF5" i="9" s="1"/>
  <c r="BG5" i="9" s="1"/>
  <c r="BH5" i="9" s="1"/>
  <c r="BI5" i="9" s="1"/>
  <c r="BJ5" i="9" s="1"/>
  <c r="BK5" i="9" s="1"/>
  <c r="BL5" i="9" s="1"/>
  <c r="BM4" i="19" l="1"/>
  <c r="B1" i="19"/>
  <c r="B2" i="19"/>
  <c r="AV4" i="19"/>
  <c r="BE4" i="19"/>
  <c r="M4" i="19"/>
  <c r="Q4" i="19"/>
  <c r="V4" i="19"/>
  <c r="Z4" i="19"/>
  <c r="AD4" i="19"/>
  <c r="AI4" i="19"/>
  <c r="AM4" i="19"/>
  <c r="AR4" i="19"/>
  <c r="AZ4" i="19"/>
  <c r="BI4" i="19"/>
  <c r="AJ4" i="15"/>
  <c r="AF4" i="15"/>
  <c r="AV4" i="9"/>
  <c r="AR4" i="9"/>
  <c r="AD4" i="9"/>
  <c r="AI4" i="9"/>
  <c r="AM4" i="9"/>
  <c r="J4" i="11"/>
  <c r="N5" i="11"/>
  <c r="O5" i="11" s="1"/>
  <c r="P5" i="11" s="1"/>
  <c r="Q5" i="11" s="1"/>
  <c r="R5" i="11" s="1"/>
  <c r="N4" i="11" s="1"/>
  <c r="AO4" i="15"/>
  <c r="J4" i="15"/>
  <c r="AS4" i="15"/>
  <c r="N4" i="15"/>
  <c r="AW4" i="15"/>
  <c r="S4" i="15"/>
  <c r="BB4" i="15"/>
  <c r="W4" i="15"/>
  <c r="BF4" i="15"/>
  <c r="AA4" i="15"/>
  <c r="BJ4" i="15"/>
  <c r="B2" i="9"/>
  <c r="AZ4" i="9"/>
  <c r="BE4" i="9"/>
  <c r="Q4" i="9"/>
  <c r="V4" i="9"/>
  <c r="M4" i="9"/>
  <c r="Z4" i="9"/>
  <c r="BM5" i="9"/>
  <c r="BN5" i="9" s="1"/>
  <c r="BO5" i="9" s="1"/>
  <c r="BP5" i="9" s="1"/>
  <c r="BI4" i="9"/>
  <c r="S5" i="11" l="1"/>
  <c r="T5" i="11" s="1"/>
  <c r="U5" i="11" s="1"/>
  <c r="V5" i="11" s="1"/>
  <c r="W5" i="11" s="1"/>
  <c r="X5" i="11" s="1"/>
  <c r="Y5" i="11" s="1"/>
  <c r="Z5" i="11" s="1"/>
  <c r="S4" i="11"/>
  <c r="BQ5" i="9"/>
  <c r="BR5" i="9" s="1"/>
  <c r="BS5" i="9" s="1"/>
  <c r="BT5" i="9" s="1"/>
  <c r="BQ4" i="9" s="1"/>
  <c r="BM4" i="9"/>
  <c r="W4" i="11" l="1"/>
  <c r="AA5" i="11"/>
  <c r="AB5" i="11" s="1"/>
  <c r="AC5" i="11" s="1"/>
  <c r="AD5" i="11" s="1"/>
  <c r="AE5" i="11" s="1"/>
  <c r="AA4" i="11" l="1"/>
  <c r="AF5" i="11"/>
  <c r="AG5" i="11" s="1"/>
  <c r="AH5" i="11" s="1"/>
  <c r="AI5" i="11" s="1"/>
  <c r="AF4" i="11" l="1"/>
  <c r="AJ5" i="11"/>
  <c r="AK5" i="11" s="1"/>
  <c r="AL5" i="11" s="1"/>
  <c r="AM5" i="11" s="1"/>
  <c r="AN5" i="11" s="1"/>
  <c r="AJ4" i="11" l="1"/>
  <c r="AO5" i="11"/>
  <c r="AP5" i="11" s="1"/>
  <c r="AQ5" i="11" s="1"/>
  <c r="AR5" i="11" s="1"/>
  <c r="AO4" i="11" l="1"/>
  <c r="AS5" i="11"/>
  <c r="AT5" i="11" s="1"/>
  <c r="AU5" i="11" s="1"/>
  <c r="AV5" i="11" s="1"/>
  <c r="AS4" i="11" l="1"/>
  <c r="AW5" i="11"/>
  <c r="AX5" i="11" s="1"/>
  <c r="AY5" i="11" s="1"/>
  <c r="AZ5" i="11" s="1"/>
  <c r="BA5" i="11" s="1"/>
  <c r="AW4" i="11" l="1"/>
  <c r="BB5" i="11"/>
  <c r="BC5" i="11" s="1"/>
  <c r="BD5" i="11" s="1"/>
  <c r="BE5" i="11" s="1"/>
  <c r="BB4" i="11" s="1"/>
</calcChain>
</file>

<file path=xl/sharedStrings.xml><?xml version="1.0" encoding="utf-8"?>
<sst xmlns="http://schemas.openxmlformats.org/spreadsheetml/2006/main" count="1285" uniqueCount="328">
  <si>
    <t>Project Information</t>
  </si>
  <si>
    <t>Project Name :</t>
  </si>
  <si>
    <t>S1 AI Advisory</t>
  </si>
  <si>
    <t>Project Manager Name :</t>
  </si>
  <si>
    <t>Parinya Kamnoed</t>
  </si>
  <si>
    <t>Project ID :</t>
  </si>
  <si>
    <t>&lt;Project ID&gt;</t>
  </si>
  <si>
    <t>Initiative Lead (IL) Name :</t>
  </si>
  <si>
    <t>Project Start Date :</t>
  </si>
  <si>
    <t>Digital Line Partner Name :</t>
  </si>
  <si>
    <t>Project End Date :</t>
  </si>
  <si>
    <t>Product / Platform Owner Name :</t>
  </si>
  <si>
    <t>Thapanic Khukhantin</t>
  </si>
  <si>
    <t>Resource Plan</t>
  </si>
  <si>
    <t>No.</t>
  </si>
  <si>
    <t>Role</t>
  </si>
  <si>
    <t>Ranking</t>
  </si>
  <si>
    <t>Level</t>
  </si>
  <si>
    <t>Area</t>
  </si>
  <si>
    <t>Tentative Member Name</t>
  </si>
  <si>
    <t>Assignment Start Date</t>
  </si>
  <si>
    <t>Assignment End Date</t>
  </si>
  <si>
    <r>
      <rPr>
        <sz val="11"/>
        <color rgb="FFFFFFFF"/>
        <rFont val="Aptos Narrow"/>
        <scheme val="minor"/>
      </rPr>
      <t xml:space="preserve">Assignment (% </t>
    </r>
    <r>
      <rPr>
        <sz val="11"/>
        <color rgb="FFFFFF00"/>
        <rFont val="Aptos Narrow"/>
        <scheme val="minor"/>
      </rPr>
      <t>per month</t>
    </r>
    <r>
      <rPr>
        <sz val="11"/>
        <color rgb="FFFFFFFF"/>
        <rFont val="Aptos Narrow"/>
        <scheme val="minor"/>
      </rPr>
      <t>)</t>
    </r>
  </si>
  <si>
    <t>Remark</t>
  </si>
  <si>
    <t>Analyst</t>
  </si>
  <si>
    <t>Assistant Officer</t>
  </si>
  <si>
    <t>Application</t>
  </si>
  <si>
    <t>Back End</t>
  </si>
  <si>
    <t>Officer</t>
  </si>
  <si>
    <t>Data</t>
  </si>
  <si>
    <t>Business Analyst</t>
  </si>
  <si>
    <t>Senior Officer</t>
  </si>
  <si>
    <t>AI</t>
  </si>
  <si>
    <t>Data Analyst</t>
  </si>
  <si>
    <t>Manager</t>
  </si>
  <si>
    <t>Data and Enterprise Architect</t>
  </si>
  <si>
    <t>Data Architecture &amp; Engineering</t>
  </si>
  <si>
    <t>Data Engineering</t>
  </si>
  <si>
    <t>Data Management Support</t>
  </si>
  <si>
    <t>Data Scientist</t>
  </si>
  <si>
    <t>Devops</t>
  </si>
  <si>
    <t>Enterprise Solution</t>
  </si>
  <si>
    <t>Enterprise Solution &amp; App Dev</t>
  </si>
  <si>
    <t>Front End</t>
  </si>
  <si>
    <t>Machine Learning Engineer</t>
  </si>
  <si>
    <t>Quality Assurance</t>
  </si>
  <si>
    <t>Senior Devops</t>
  </si>
  <si>
    <t>Software Developer</t>
  </si>
  <si>
    <t>UX/UI</t>
  </si>
  <si>
    <t>Scrum Master</t>
  </si>
  <si>
    <t> </t>
  </si>
  <si>
    <t>As of 20 Feb 2026</t>
  </si>
  <si>
    <t>FTE Assessment - As of 20 Feb 2026</t>
  </si>
  <si>
    <t>ITPM Validation</t>
  </si>
  <si>
    <t>Project group</t>
  </si>
  <si>
    <t>Group</t>
  </si>
  <si>
    <t>Vendor</t>
  </si>
  <si>
    <t>Position</t>
  </si>
  <si>
    <t>Member</t>
  </si>
  <si>
    <t>Nickname</t>
  </si>
  <si>
    <t>Project/Note</t>
  </si>
  <si>
    <t>Reviewer</t>
  </si>
  <si>
    <t>Production Asset</t>
  </si>
  <si>
    <t>IT Project Manager</t>
  </si>
  <si>
    <t>Senior</t>
  </si>
  <si>
    <t>Chaii</t>
  </si>
  <si>
    <t>Navapol M.</t>
  </si>
  <si>
    <t>Data Architect</t>
  </si>
  <si>
    <t>Pongsakorn Lekpojai</t>
  </si>
  <si>
    <t>Bank</t>
  </si>
  <si>
    <t>Data Science</t>
  </si>
  <si>
    <t>Wiriya Thienthanukit</t>
  </si>
  <si>
    <t>Mickey</t>
  </si>
  <si>
    <t>Kantkanit Watanakun</t>
  </si>
  <si>
    <t>Punn</t>
  </si>
  <si>
    <t xml:space="preserve">ML Engineer </t>
  </si>
  <si>
    <t>Siwa Boonpunmongkol</t>
  </si>
  <si>
    <t>Jui</t>
  </si>
  <si>
    <t>Cholnisa Bhonprasit</t>
  </si>
  <si>
    <t>Bom+</t>
  </si>
  <si>
    <t>IT Infrastructure</t>
  </si>
  <si>
    <t>Pool Resource</t>
  </si>
  <si>
    <t>IT Cyber Security</t>
  </si>
  <si>
    <t>Original - need to revised with team</t>
  </si>
  <si>
    <t>FTE Assessment - As of 17 Apr 2026 (after team estimation)</t>
  </si>
  <si>
    <t>Project</t>
  </si>
  <si>
    <t>Business Domain</t>
  </si>
  <si>
    <t>Name</t>
  </si>
  <si>
    <t>Nick Name</t>
  </si>
  <si>
    <t>Jan'26</t>
  </si>
  <si>
    <t>Feb'26</t>
  </si>
  <si>
    <t>Mar'26</t>
  </si>
  <si>
    <t>Apr'26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</si>
  <si>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</si>
  <si>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</si>
  <si>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</si>
  <si>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</si>
  <si>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</si>
  <si>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</si>
  <si>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</si>
  <si>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</si>
  <si>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S1 AI advisory flowline back pressure optimization</t>
  </si>
  <si>
    <t>Production</t>
  </si>
  <si>
    <t>ITPM</t>
  </si>
  <si>
    <t>EPAM</t>
  </si>
  <si>
    <t>Micky</t>
  </si>
  <si>
    <t>PTTEP</t>
  </si>
  <si>
    <t>Ami Toyoda</t>
  </si>
  <si>
    <t>Meen</t>
  </si>
  <si>
    <t>The Gang</t>
  </si>
  <si>
    <t>TBC</t>
  </si>
  <si>
    <t>ไม่ต้องแล้ว</t>
  </si>
  <si>
    <t>Data Engineer</t>
  </si>
  <si>
    <t>0.20  </t>
  </si>
  <si>
    <t>Data Analytics Services</t>
  </si>
  <si>
    <t>0.05  </t>
  </si>
  <si>
    <t>Question</t>
  </si>
  <si>
    <t>Alignment</t>
  </si>
  <si>
    <t>batch / ingest / frequency per day/month?</t>
  </si>
  <si>
    <t>+ never ingest, Direct retrieve (2025) | GCP (2026), check iPOS phase 1 for data
+ PI to GCP need to validate more discus PI Server
+ no need to build model for DS
+ frequency followint data flow diagram
+ output -&gt; text file (sharepoint): need human approve -&gt; well test team load to P2 (ipos connect P2)</t>
  </si>
  <si>
    <t>data from PI real time or not ?</t>
  </si>
  <si>
    <t>+ PI on Prem to PI GCP
+ check data pipeline from existing iPOS 1/2, concern Name - summary separate project
+ data engineer - &gt; use data analyst instead
+ adding Tag require K.Kate (Suwanna product owner PI) - contact by DS | Pre-requitsite: tag name and more details</t>
  </si>
  <si>
    <t>clarify DE start before DS?</t>
  </si>
  <si>
    <t>+ don't need DE effort</t>
  </si>
  <si>
    <t>end of dec 2026, the project is still continue?</t>
  </si>
  <si>
    <t>+ plan to complete 120 well Oct, actuallly total 150-160 end Dec -&gt;&gt; KPI</t>
  </si>
  <si>
    <t>which selection Well for group1 and group2 deployment?</t>
  </si>
  <si>
    <t>+ POC 10 well aready
+ month 6 = 25 well,
+ month 10 = 120 well  (26-120 well faster)</t>
  </si>
  <si>
    <t>ML pipeline</t>
  </si>
  <si>
    <t>Only keep file on SharePoint check by  human</t>
  </si>
  <si>
    <t>System Architecture and Data Architecture</t>
  </si>
  <si>
    <t>Revised again after Gate 3, before Solar</t>
  </si>
  <si>
    <t>Resource DA</t>
  </si>
  <si>
    <t>Just standby follow FTE sheet, mainly DS (Mickey) is the key person togather Requirement</t>
  </si>
  <si>
    <t>FTE Assessment - As of 06 Mar 2026</t>
  </si>
  <si>
    <t>Actual</t>
  </si>
  <si>
    <t>x %</t>
  </si>
  <si>
    <t>Start:</t>
  </si>
  <si>
    <t>Start</t>
  </si>
  <si>
    <t>Plan</t>
  </si>
  <si>
    <t>End:</t>
  </si>
  <si>
    <t>...In Progress...</t>
  </si>
  <si>
    <t xml:space="preserve">Link: </t>
  </si>
  <si>
    <t>SOR Document</t>
  </si>
  <si>
    <t>Year 2026</t>
  </si>
  <si>
    <t>Project Roadmap/Timeline: [TBC with Team and Line Partner]</t>
  </si>
  <si>
    <t>Main Activity</t>
  </si>
  <si>
    <t>Sub Activity</t>
  </si>
  <si>
    <t xml:space="preserve">Duration </t>
  </si>
  <si>
    <t>% Progress</t>
  </si>
  <si>
    <t>W1</t>
  </si>
  <si>
    <t>W2</t>
  </si>
  <si>
    <t>W3</t>
  </si>
  <si>
    <t>W4</t>
  </si>
  <si>
    <t>W5</t>
  </si>
  <si>
    <t>Gather Requirement &amp; Design</t>
  </si>
  <si>
    <t>1 months</t>
  </si>
  <si>
    <t>DA(main), DArch</t>
  </si>
  <si>
    <t>Consolidate Requirement (data requirement, KPI, etc.)</t>
  </si>
  <si>
    <t>Design architecture</t>
  </si>
  <si>
    <t>SOLAR + ARB</t>
  </si>
  <si>
    <t>[Full scale] Data preparation</t>
  </si>
  <si>
    <t>3 months</t>
  </si>
  <si>
    <t>DE(main), DA</t>
  </si>
  <si>
    <t>Prepare data, sharing and permission</t>
  </si>
  <si>
    <t>[Full scale] ML model development</t>
  </si>
  <si>
    <t>10 months</t>
  </si>
  <si>
    <t>DS, ML</t>
  </si>
  <si>
    <t>Model development</t>
  </si>
  <si>
    <t>ML inference/prediction pipeline development</t>
  </si>
  <si>
    <t>Deployment Group 1</t>
  </si>
  <si>
    <t>♦️</t>
  </si>
  <si>
    <t>User feedback/improvement Group 1</t>
  </si>
  <si>
    <t>Deployment Group 2</t>
  </si>
  <si>
    <t>User feedback/improvement Group 2</t>
  </si>
  <si>
    <t>UAT &amp; Model adoption to input IPOS</t>
  </si>
  <si>
    <t>4 months</t>
  </si>
  <si>
    <t>DA, DS, ML</t>
  </si>
  <si>
    <t>Technical Integration: API (GCP to IPOS)</t>
  </si>
  <si>
    <t>Verification: Results vs. hub separators</t>
  </si>
  <si>
    <t>Go-Live</t>
  </si>
  <si>
    <t>Handover: Final manuals and training</t>
  </si>
  <si>
    <t>Post-golive</t>
  </si>
  <si>
    <t>Start at lease 3 months</t>
  </si>
  <si>
    <t>Advisory Ops: Real-time ON/OFF recommendations</t>
  </si>
  <si>
    <t>Maintenance: Automated retraining loops</t>
  </si>
  <si>
    <t>Cyclic Optimization</t>
  </si>
  <si>
    <t>milestone</t>
  </si>
  <si>
    <t>Note:</t>
  </si>
  <si>
    <t>Holiday Note</t>
  </si>
  <si>
    <t>Risk/Issue</t>
  </si>
  <si>
    <t>Deliverable.</t>
  </si>
  <si>
    <t>Question:</t>
  </si>
  <si>
    <t>Repository</t>
  </si>
  <si>
    <t xml:space="preserve">04/02/26 - SOR Highlivel Requirement latest alignment     </t>
  </si>
  <si>
    <t>xxx</t>
  </si>
  <si>
    <t>1 xxxx</t>
  </si>
  <si>
    <t>end goal???</t>
  </si>
  <si>
    <t>2 trouble shoot</t>
  </si>
  <si>
    <t>Original - need to revise with team</t>
  </si>
  <si>
    <t>Current Week</t>
  </si>
  <si>
    <t>Revised</t>
  </si>
  <si>
    <r>
      <rPr>
        <b/>
        <sz val="10"/>
        <color rgb="FF000000"/>
        <rFont val="Montserrat"/>
      </rPr>
      <t xml:space="preserve">♦️[25 Dec] </t>
    </r>
    <r>
      <rPr>
        <sz val="10"/>
        <color rgb="FF000000"/>
        <rFont val="Montserrat"/>
      </rPr>
      <t>Handover</t>
    </r>
  </si>
  <si>
    <r>
      <rPr>
        <b/>
        <sz val="10"/>
        <color rgb="FF000000"/>
        <rFont val="Montserrat"/>
      </rPr>
      <t xml:space="preserve">♦️[30 Jun]  </t>
    </r>
    <r>
      <rPr>
        <sz val="10"/>
        <color rgb="FF000000"/>
        <rFont val="Montserrat"/>
      </rPr>
      <t>Group 1: 25 Wells</t>
    </r>
  </si>
  <si>
    <r>
      <rPr>
        <b/>
        <sz val="10"/>
        <color rgb="FF000000"/>
        <rFont val="Montserrat"/>
      </rPr>
      <t xml:space="preserve">♦️[30 Oct]  </t>
    </r>
    <r>
      <rPr>
        <sz val="10"/>
        <color rgb="FF000000"/>
        <rFont val="Montserrat"/>
      </rPr>
      <t>Group 2: 26 - 120 Wells</t>
    </r>
  </si>
  <si>
    <r>
      <rPr>
        <b/>
        <sz val="10"/>
        <color rgb="FF000000"/>
        <rFont val="Montserrat"/>
      </rPr>
      <t xml:space="preserve">♦️[14 Dec]  </t>
    </r>
    <r>
      <rPr>
        <sz val="10"/>
        <color rgb="FF000000"/>
        <rFont val="Montserrat"/>
      </rPr>
      <t>Group 3: 121 - 160 Wells</t>
    </r>
  </si>
  <si>
    <t>*count progress to handover</t>
  </si>
  <si>
    <t>Year 2027</t>
  </si>
  <si>
    <t xml:space="preserve">Project Roadmap/Timeline: </t>
  </si>
  <si>
    <t>End 1 (for calculation)</t>
  </si>
  <si>
    <t>End</t>
  </si>
  <si>
    <t>2 months</t>
  </si>
  <si>
    <t>DS(main), DArch</t>
  </si>
  <si>
    <t>Model Development &amp; Prediction Pipeline</t>
  </si>
  <si>
    <r>
      <rPr>
        <sz val="10"/>
        <color rgb="FF000000"/>
        <rFont val="Tahoma"/>
        <family val="2"/>
      </rPr>
      <t xml:space="preserve">Deployment Group 1 </t>
    </r>
    <r>
      <rPr>
        <b/>
        <sz val="10"/>
        <color rgb="FF000000"/>
        <rFont val="Tahoma"/>
        <family val="2"/>
      </rPr>
      <t>(1-25 Wells)</t>
    </r>
  </si>
  <si>
    <t>Model Adjustment</t>
  </si>
  <si>
    <r>
      <rPr>
        <sz val="10"/>
        <color rgb="FF000000"/>
        <rFont val="Tahoma"/>
        <family val="2"/>
      </rPr>
      <t xml:space="preserve">Deployment Group 2 </t>
    </r>
    <r>
      <rPr>
        <b/>
        <sz val="10"/>
        <color rgb="FF000000"/>
        <rFont val="Tahoma"/>
        <family val="2"/>
      </rPr>
      <t>(26-120 Wells)</t>
    </r>
  </si>
  <si>
    <r>
      <rPr>
        <sz val="10"/>
        <color rgb="FF000000"/>
        <rFont val="Tahoma"/>
        <family val="2"/>
      </rPr>
      <t xml:space="preserve">Deployment The Rest Group </t>
    </r>
    <r>
      <rPr>
        <b/>
        <sz val="10"/>
        <color rgb="FF000000"/>
        <rFont val="Tahoma"/>
        <family val="2"/>
      </rPr>
      <t>(121-160 Wells)</t>
    </r>
  </si>
  <si>
    <t>User feedback/improvement The Rest Group</t>
  </si>
  <si>
    <t>Integration and Handover</t>
  </si>
  <si>
    <t xml:space="preserve">3 months </t>
  </si>
  <si>
    <t xml:space="preserve">IPOS Phase 2: Integration Support </t>
  </si>
  <si>
    <r>
      <rPr>
        <b/>
        <sz val="10"/>
        <color rgb="FF000000"/>
        <rFont val="Tahoma"/>
        <family val="2"/>
      </rPr>
      <t xml:space="preserve">Post-golive </t>
    </r>
    <r>
      <rPr>
        <b/>
        <sz val="10"/>
        <color rgb="FFFF0000"/>
        <rFont val="Tahoma"/>
        <family val="2"/>
      </rPr>
      <t>TBC with support team</t>
    </r>
  </si>
  <si>
    <t>OMS Support, DS</t>
  </si>
  <si>
    <t>Operation Support (Tier 1, Tier 2)</t>
  </si>
  <si>
    <t xml:space="preserve">Measurement </t>
  </si>
  <si>
    <t>Deliverable(Overall)</t>
  </si>
  <si>
    <t>Ref. Task Document &amp; Handover</t>
  </si>
  <si>
    <t>Post Go-Live</t>
  </si>
  <si>
    <r>
      <rPr>
        <b/>
        <sz val="10"/>
        <color rgb="FF000000"/>
        <rFont val="Tahoma"/>
        <family val="2"/>
      </rPr>
      <t>Target:</t>
    </r>
    <r>
      <rPr>
        <sz val="10"/>
        <color rgb="FF000000"/>
        <rFont val="Tahoma"/>
        <family val="2"/>
      </rPr>
      <t xml:space="preserve"> MAPE &lt; 25%</t>
    </r>
  </si>
  <si>
    <t>ML</t>
  </si>
  <si>
    <t>Source of data and model development</t>
  </si>
  <si>
    <t>Tier</t>
  </si>
  <si>
    <t>Document</t>
  </si>
  <si>
    <t>Support Level</t>
  </si>
  <si>
    <t>DS</t>
  </si>
  <si>
    <t>Algorithm &amp; Logic, Result (experiment/measurement e.g. MAPE, R2, MAE)</t>
  </si>
  <si>
    <t>Tier 1</t>
  </si>
  <si>
    <t>High Level</t>
  </si>
  <si>
    <t>*format document/wiki</t>
  </si>
  <si>
    <t>Tier 2</t>
  </si>
  <si>
    <t>Technical Level</t>
  </si>
  <si>
    <t>Integration with IPOS Phase 2</t>
  </si>
  <si>
    <t>Team</t>
  </si>
  <si>
    <t>Action</t>
  </si>
  <si>
    <t xml:space="preserve">Output </t>
  </si>
  <si>
    <t xml:space="preserve">S1 AI </t>
  </si>
  <si>
    <t>deploy models</t>
  </si>
  <si>
    <t>text files on sharepoint</t>
  </si>
  <si>
    <t>User</t>
  </si>
  <si>
    <t>validate and upload data</t>
  </si>
  <si>
    <t>PDMS, GCP</t>
  </si>
  <si>
    <t>IPOS</t>
  </si>
  <si>
    <t>integrate</t>
  </si>
  <si>
    <t>GCP</t>
  </si>
  <si>
    <t xml:space="preserve">Deliverable: Milestone 1 - 25 Wells </t>
  </si>
  <si>
    <t xml:space="preserve">1) </t>
  </si>
  <si>
    <t>Source code deployment</t>
  </si>
  <si>
    <t xml:space="preserve">2) </t>
  </si>
  <si>
    <t>Excel Virtual Flow Meeting (per Well per Day)</t>
  </si>
  <si>
    <t xml:space="preserve">Deliverable: Milestone 2 - 26 to 120 Wells </t>
  </si>
  <si>
    <t xml:space="preserve">Deliverable: Milestone 3 - 121 to 160 Wells (TBD) </t>
  </si>
  <si>
    <r>
      <rPr>
        <b/>
        <i/>
        <sz val="8"/>
        <color rgb="FFFF0000"/>
        <rFont val="Montserrat"/>
      </rPr>
      <t xml:space="preserve">Note:  </t>
    </r>
    <r>
      <rPr>
        <i/>
        <sz val="8"/>
        <color rgb="FFFF0000"/>
        <rFont val="Montserrat"/>
      </rPr>
      <t>the user is required to test each milestone [Testing-&gt;Improvement Process]</t>
    </r>
  </si>
  <si>
    <t>Note: will be deleted soon</t>
  </si>
  <si>
    <r>
      <t xml:space="preserve">output, excel and sharepoint -&gt; validate -&gt; P2 -&gt; </t>
    </r>
    <r>
      <rPr>
        <b/>
        <sz val="11"/>
        <color theme="0" tint="-0.34998626667073579"/>
        <rFont val="Aptos Narrow"/>
        <scheme val="minor"/>
      </rPr>
      <t>GCP</t>
    </r>
  </si>
  <si>
    <t>text on sharepoint</t>
  </si>
  <si>
    <t>S1 Team</t>
  </si>
  <si>
    <t>validate -&gt; P2</t>
  </si>
  <si>
    <t>user</t>
  </si>
  <si>
    <t>IPOS phase 2</t>
  </si>
  <si>
    <t>post golive</t>
  </si>
  <si>
    <t>document</t>
  </si>
  <si>
    <t>support</t>
  </si>
  <si>
    <t>slide(ml: resource), (ds: algorith)</t>
  </si>
  <si>
    <t>ds</t>
  </si>
  <si>
    <t>more technical</t>
  </si>
  <si>
    <t xml:space="preserve">deliverable </t>
  </si>
  <si>
    <t>slide(ml: resource), (ds: algorith, wiki model exeriment)</t>
  </si>
  <si>
    <t>algo, logic</t>
  </si>
  <si>
    <t>result (KPI R2, Mape, model performance)</t>
  </si>
  <si>
    <r>
      <rPr>
        <b/>
        <sz val="14"/>
        <color rgb="FF000000"/>
        <rFont val="Aptos Narrow"/>
        <scheme val="minor"/>
      </rPr>
      <t xml:space="preserve">Project Roadmap/Timeline: </t>
    </r>
    <r>
      <rPr>
        <b/>
        <sz val="14"/>
        <color rgb="FFFF0000"/>
        <rFont val="Aptos Narrow"/>
        <scheme val="minor"/>
      </rPr>
      <t>As of 20 Feb 2026</t>
    </r>
  </si>
  <si>
    <t>Model development 1</t>
  </si>
  <si>
    <t>Deliverable  as of 06 Mar 2026</t>
  </si>
  <si>
    <t>WIP Revise %Actual</t>
  </si>
  <si>
    <t>Id</t>
  </si>
  <si>
    <t>Issue</t>
  </si>
  <si>
    <t>Type</t>
  </si>
  <si>
    <t>Status</t>
  </si>
  <si>
    <t>Priority</t>
  </si>
  <si>
    <t>Create Date</t>
  </si>
  <si>
    <t>Target Date</t>
  </si>
  <si>
    <t>PIC (raise topic)</t>
  </si>
  <si>
    <r>
      <rPr>
        <b/>
        <sz val="11"/>
        <color rgb="FF000000"/>
        <rFont val="Aptos Narrow"/>
        <scheme val="minor"/>
      </rPr>
      <t xml:space="preserve">Note </t>
    </r>
    <r>
      <rPr>
        <sz val="11"/>
        <color rgb="FF000000"/>
        <rFont val="Aptos Narrow"/>
        <scheme val="minor"/>
      </rPr>
      <t>(dd/mm/yy)</t>
    </r>
  </si>
  <si>
    <t>Dropdown:</t>
  </si>
  <si>
    <t>Set budget for upcoming wells in the future</t>
  </si>
  <si>
    <t>issue</t>
  </si>
  <si>
    <t>pending</t>
  </si>
  <si>
    <t>low</t>
  </si>
  <si>
    <t>Naruedon T.</t>
  </si>
  <si>
    <t>24/04/26:
+ Ground work and structure already set in 2026, just add data source. Team will discuss again</t>
  </si>
  <si>
    <t>high</t>
  </si>
  <si>
    <t>open</t>
  </si>
  <si>
    <t xml:space="preserve">Initial MAPE measurement should be less than 25% (ref. SOR) </t>
  </si>
  <si>
    <t>Chain S.</t>
  </si>
  <si>
    <t>20/05/26:
+ Wait for development team readiness assessment for the next weekly sync up again</t>
  </si>
  <si>
    <t>risk</t>
  </si>
  <si>
    <t>medium</t>
  </si>
  <si>
    <t>in progress</t>
  </si>
  <si>
    <t>[Note] S1 AI model development data will not affect with iPOS project as iPOS retrieves data from GCP, and already use Well test data</t>
  </si>
  <si>
    <t>close</t>
  </si>
  <si>
    <t>Naruedon T., Parinya K.</t>
  </si>
  <si>
    <t>20/05/26:
+ Wait for development team readiness assessment for next weekly sync up again</t>
  </si>
  <si>
    <t>Validate model and accuracy on MAPE measurement</t>
  </si>
  <si>
    <t>Chain S.
Witaya T.</t>
  </si>
  <si>
    <t>PDMS align format (enhance K.Kae acknowledge - to register)</t>
  </si>
  <si>
    <t>10/06/26:
+ Already discussed with involved person, and extend tentative target date to end of Jul 26
18/06/26:
+ User waiting for uploading files -&gt; Map usage Cell to P2 (PDMS) -&gt; back to Development team.</t>
  </si>
  <si>
    <t>Revised and combine tasks; Model development 1 and
ML inference/prediction pipeline development to "Model Development &amp; Prediction Pipeline"</t>
  </si>
  <si>
    <t>Parinya K.</t>
  </si>
  <si>
    <r>
      <t xml:space="preserve">Wait for discussion
</t>
    </r>
    <r>
      <rPr>
        <b/>
        <sz val="11"/>
        <color rgb="FF000000"/>
        <rFont val="Aptos Narrow"/>
        <scheme val="minor"/>
      </rPr>
      <t xml:space="preserve">After Testing and Estimate on 5 well and good Oil Flow:
</t>
    </r>
    <r>
      <rPr>
        <sz val="11"/>
        <color rgb="FF000000"/>
        <rFont val="Aptos Narrow"/>
        <scheme val="minor"/>
      </rPr>
      <t xml:space="preserve">○ Address Outliers: values are "jumping" significantly far from reality; we need to investigate the data cleansing logic for these instances.
○ Well Behavior Logic: We need to define which wells should decline OR sustained strength
○ Zero-Value Investigation: Some estimates are currently returning as "0"; we need to verify if this is a sensor data issue or a model logic error.
</t>
    </r>
    <r>
      <rPr>
        <b/>
        <sz val="11"/>
        <color rgb="FF000000"/>
        <rFont val="Aptos Narrow"/>
        <scheme val="minor"/>
      </rPr>
      <t xml:space="preserve">Mechanism Focus on Beam Pumps:
</t>
    </r>
    <r>
      <rPr>
        <sz val="11"/>
        <color rgb="FF000000"/>
        <rFont val="Aptos Narrow"/>
        <scheme val="minor"/>
      </rPr>
      <t xml:space="preserve">○ Status Filtering: For training, focus on active/open status for Gas-lift wells to ensure the models aren't being skewed by "closed" well data.
</t>
    </r>
    <r>
      <rPr>
        <b/>
        <sz val="11"/>
        <color rgb="FF000000"/>
        <rFont val="Aptos Narrow"/>
        <scheme val="minor"/>
      </rPr>
      <t xml:space="preserve">"BSW" Factor Integration:
</t>
    </r>
    <r>
      <rPr>
        <sz val="11"/>
        <color rgb="FF000000"/>
        <rFont val="Aptos Narrow"/>
        <scheme val="minor"/>
      </rPr>
      <t>○ Reporting: include BSW factors are included in the final SharePoint Well Test reports.</t>
    </r>
  </si>
  <si>
    <t>Nareudon T.
Witaya T.</t>
  </si>
  <si>
    <r>
      <rPr>
        <sz val="11"/>
        <color rgb="FF000000"/>
        <rFont val="Aptos Narrow"/>
        <scheme val="minor"/>
      </rPr>
      <t>10/06/26:
+ Wait for discussion
18/06/26:
+ BSW will be fixed after fixing model.
+ Based on P2:PI Tag data,</t>
    </r>
    <r>
      <rPr>
        <b/>
        <sz val="11"/>
        <color rgb="FF000000"/>
        <rFont val="Aptos Narrow"/>
        <scheme val="minor"/>
      </rPr>
      <t xml:space="preserve"> retrieving history</t>
    </r>
    <r>
      <rPr>
        <sz val="11"/>
        <color rgb="FF000000"/>
        <rFont val="Aptos Narrow"/>
        <scheme val="minor"/>
      </rPr>
      <t xml:space="preserve"> of well test data </t>
    </r>
    <r>
      <rPr>
        <b/>
        <sz val="11"/>
        <color rgb="FF000000"/>
        <rFont val="Aptos Narrow"/>
        <scheme val="minor"/>
      </rPr>
      <t>n-1</t>
    </r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day</t>
    </r>
    <r>
      <rPr>
        <sz val="11"/>
        <color rgb="FF000000"/>
        <rFont val="Aptos Narrow"/>
        <scheme val="minor"/>
      </rPr>
      <t xml:space="preserve"> (n=well test date), then wait and see the result. 
24/06/26:
+ already train n-1 then run new model and compare with old model -&gt; MAPE still high on production
+ quick solution: putting assumption by </t>
    </r>
    <r>
      <rPr>
        <b/>
        <sz val="11"/>
        <color rgb="FF000000"/>
        <rFont val="Aptos Narrow"/>
        <scheme val="minor"/>
      </rPr>
      <t>well behaviror</t>
    </r>
    <r>
      <rPr>
        <sz val="11"/>
        <color rgb="FF000000"/>
        <rFont val="Aptos Narrow"/>
        <scheme val="minor"/>
      </rPr>
      <t xml:space="preserve"> (exploring) </t>
    </r>
  </si>
  <si>
    <r>
      <rPr>
        <b/>
        <sz val="11"/>
        <color rgb="FF000000"/>
        <rFont val="Aptos Narrow"/>
        <scheme val="minor"/>
      </rPr>
      <t>Milestone:</t>
    </r>
    <r>
      <rPr>
        <sz val="11"/>
        <color rgb="FF000000"/>
        <rFont val="Aptos Narrow"/>
        <scheme val="minor"/>
      </rPr>
      <t xml:space="preserve"> Well 1-25th - verify and align </t>
    </r>
    <r>
      <rPr>
        <b/>
        <sz val="11"/>
        <color rgb="FF000000"/>
        <rFont val="Aptos Narrow"/>
        <scheme val="minor"/>
      </rPr>
      <t>deliverables</t>
    </r>
    <r>
      <rPr>
        <sz val="11"/>
        <color rgb="FF000000"/>
        <rFont val="Aptos Narrow"/>
        <scheme val="minor"/>
      </rPr>
      <t xml:space="preserve"> with team</t>
    </r>
  </si>
  <si>
    <t>Model Logic Improve and Feedback Loop to meet MAPE &lt; 25%</t>
  </si>
  <si>
    <t>1/07/26:
On solution discussion 
1) Request PTTD upload history PI data 
2) PFO2/O working on explore VFM, and sending sample data for S1 AI team to try (K.Chain) -- align with team again</t>
  </si>
  <si>
    <t>Confirm well th 121-160</t>
  </si>
  <si>
    <t>05/08/26:
1) focus and finalize well 1-120 before discussion the rest of well</t>
  </si>
  <si>
    <t>Finding more approachs by talking to Weatherford</t>
  </si>
  <si>
    <t>05/08/26:
1) wait for a session with Weatherford to analysis the approach for S1 AI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</si>
</sst>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yy;@"/>
    <numFmt numFmtId="165" formatCode="mmm"/>
    <numFmt numFmtId="166" formatCode="d"/>
    <numFmt numFmtId="167" formatCode="[$-409]d\-mmm\-yy;@"/>
  </numFmts>
  <fonts count="70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3" tint="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FFFFFF"/>
      <name val="Aptos Narrow"/>
      <scheme val="minor"/>
    </font>
    <font>
      <sz val="11"/>
      <color rgb="FFFFFF00"/>
      <name val="Aptos Narrow"/>
      <scheme val="minor"/>
    </font>
    <font>
      <sz val="11"/>
      <color theme="0"/>
      <name val="Aptos Narrow"/>
      <scheme val="minor"/>
    </font>
    <font>
      <sz val="11"/>
      <color rgb="FFFFFF00"/>
      <name val="Aptos Narrow"/>
      <family val="2"/>
      <scheme val="minor"/>
    </font>
    <font>
      <b/>
      <sz val="18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9"/>
      <color rgb="FF000000"/>
      <name val="Aptos Narrow"/>
      <family val="2"/>
    </font>
    <font>
      <sz val="12"/>
      <color rgb="FF000000"/>
      <name val="Aptos Narrow"/>
      <family val="2"/>
    </font>
    <font>
      <sz val="11"/>
      <color rgb="FFFF0000"/>
      <name val="Aptos Narrow"/>
      <family val="2"/>
    </font>
    <font>
      <u/>
      <sz val="11"/>
      <color rgb="FF467886"/>
      <name val="Aptos Narrow"/>
      <family val="2"/>
    </font>
    <font>
      <sz val="11"/>
      <color rgb="FF000000"/>
      <name val="Aptos Narrow"/>
    </font>
    <font>
      <b/>
      <sz val="11"/>
      <color rgb="FF000000"/>
      <name val="Aptos Narrow"/>
    </font>
    <font>
      <b/>
      <sz val="11"/>
      <color rgb="FFFF0000"/>
      <name val="Aptos Narrow"/>
      <family val="2"/>
    </font>
    <font>
      <sz val="11"/>
      <color theme="1"/>
      <name val="Aptos Narrow"/>
      <family val="2"/>
    </font>
    <font>
      <b/>
      <sz val="14"/>
      <color theme="1"/>
      <name val="Aptos Narrow"/>
      <family val="2"/>
      <scheme val="minor"/>
    </font>
    <font>
      <b/>
      <sz val="10"/>
      <color theme="0"/>
      <name val="Tahoma"/>
      <family val="2"/>
    </font>
    <font>
      <sz val="10"/>
      <color theme="1"/>
      <name val="Tahoma"/>
      <family val="2"/>
    </font>
    <font>
      <b/>
      <sz val="9"/>
      <color rgb="FF201505"/>
      <name val="Montserrat"/>
    </font>
    <font>
      <sz val="9"/>
      <color rgb="FF201505"/>
      <name val="Montserrat"/>
    </font>
    <font>
      <b/>
      <sz val="9"/>
      <color rgb="FFFFFFFF"/>
      <name val="Montserrat"/>
    </font>
    <font>
      <b/>
      <sz val="8"/>
      <color theme="1"/>
      <name val="Montserrat"/>
    </font>
    <font>
      <sz val="11"/>
      <color theme="1"/>
      <name val="Aptos Narrow"/>
    </font>
    <font>
      <b/>
      <sz val="10"/>
      <color theme="1"/>
      <name val="Tahoma"/>
      <family val="2"/>
    </font>
    <font>
      <b/>
      <sz val="14"/>
      <color theme="0"/>
      <name val="Aptos Narrow"/>
      <family val="2"/>
      <scheme val="minor"/>
    </font>
    <font>
      <b/>
      <sz val="10"/>
      <color theme="1"/>
      <name val="Montserrat"/>
    </font>
    <font>
      <b/>
      <sz val="11"/>
      <color theme="0" tint="-4.9989318521683403E-2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rgb="FFFF0000"/>
      <name val="Aptos Narrow"/>
      <family val="2"/>
    </font>
    <font>
      <sz val="14"/>
      <color rgb="FFFF0000"/>
      <name val="Aptos Narrow"/>
      <family val="2"/>
      <scheme val="minor"/>
    </font>
    <font>
      <sz val="10"/>
      <color theme="0" tint="-0.34998626667073579"/>
      <name val="Tahoma"/>
      <family val="2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8"/>
      <color rgb="FFFF0000"/>
      <name val="Aptos Narrow"/>
    </font>
    <font>
      <b/>
      <sz val="10"/>
      <color rgb="FF000000"/>
      <name val="Montserrat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rgb="FFFF0000"/>
      <name val="Tahoma"/>
      <family val="2"/>
    </font>
    <font>
      <sz val="10"/>
      <color rgb="FF000000"/>
      <name val="Montserrat"/>
    </font>
    <font>
      <b/>
      <sz val="14"/>
      <color rgb="FF000000"/>
      <name val="Aptos Narrow"/>
      <scheme val="minor"/>
    </font>
    <font>
      <b/>
      <sz val="14"/>
      <color rgb="FFFF0000"/>
      <name val="Aptos Narrow"/>
      <scheme val="minor"/>
    </font>
    <font>
      <b/>
      <sz val="14"/>
      <color theme="1"/>
      <name val="Aptos Narrow"/>
      <scheme val="minor"/>
    </font>
    <font>
      <b/>
      <sz val="11"/>
      <color theme="0"/>
      <name val="Aptos Narrow"/>
      <family val="2"/>
      <scheme val="minor"/>
    </font>
    <font>
      <b/>
      <sz val="18"/>
      <color rgb="FF0070C0"/>
      <name val="Aptos Narrow"/>
      <family val="2"/>
      <scheme val="minor"/>
    </font>
    <font>
      <sz val="18"/>
      <color rgb="FF0070C0"/>
      <name val="Aptos Narrow"/>
      <family val="2"/>
      <scheme val="minor"/>
    </font>
    <font>
      <b/>
      <sz val="11"/>
      <color theme="0" tint="-0.34998626667073579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11"/>
      <color theme="0" tint="-0.34998626667073579"/>
      <name val="Aptos Narrow"/>
      <scheme val="minor"/>
    </font>
    <font>
      <b/>
      <sz val="11"/>
      <color theme="0" tint="-0.34998626667073579"/>
      <name val="Aptos Narrow"/>
      <scheme val="minor"/>
    </font>
    <font>
      <i/>
      <sz val="11"/>
      <color rgb="FFFF0000"/>
      <name val="Aptos Narrow"/>
      <family val="2"/>
      <scheme val="minor"/>
    </font>
    <font>
      <sz val="10"/>
      <color rgb="FF0727F7"/>
      <name val="Tahoma"/>
      <family val="2"/>
    </font>
    <font>
      <b/>
      <sz val="14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rgb="FF0727F7"/>
      <name val="Aptos Narrow"/>
      <family val="2"/>
      <scheme val="minor"/>
    </font>
    <font>
      <i/>
      <sz val="11"/>
      <color rgb="FFFF0000"/>
      <name val="Aptos Narrow"/>
      <scheme val="minor"/>
    </font>
    <font>
      <u/>
      <sz val="14"/>
      <color theme="10"/>
      <name val="Aptos Narrow"/>
      <family val="2"/>
      <scheme val="minor"/>
    </font>
    <font>
      <sz val="10"/>
      <color theme="0" tint="-4.9989318521683403E-2"/>
      <name val="Tahoma"/>
      <family val="2"/>
    </font>
    <font>
      <i/>
      <sz val="8"/>
      <color rgb="FFFF0000"/>
      <name val="Montserrat"/>
    </font>
    <font>
      <b/>
      <i/>
      <sz val="8"/>
      <color rgb="FFFF0000"/>
      <name val="Montserrat"/>
    </font>
    <font>
      <sz val="11"/>
      <color theme="1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1F0C8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</fills>
  <borders count="63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dotted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dotted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dotted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  <diagonal/>
    </border>
    <border>
      <left style="thin">
        <color rgb="FF000000"/>
      </left>
      <right/>
      <top/>
      <bottom/>
      <diagonal/>
    </border>
    <border>
      <left style="dashed">
        <color rgb="FF000000"/>
      </left>
      <right/>
      <top style="dashed">
        <color rgb="FF000000"/>
      </top>
      <bottom style="dashed">
        <color rgb="FF000000"/>
      </bottom>
      <diagonal/>
    </border>
    <border>
      <left/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/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000000"/>
      </right>
      <top style="hair">
        <color rgb="FFB7B7B7"/>
      </top>
      <bottom style="hair">
        <color rgb="FFB7B7B7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/>
      <diagonal/>
    </border>
    <border>
      <left/>
      <right style="dashed">
        <color rgb="FF000000"/>
      </right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 style="dashed">
        <color rgb="FF000000"/>
      </left>
      <right/>
      <top style="dashed">
        <color rgb="FF000000"/>
      </top>
      <bottom/>
      <diagonal/>
    </border>
    <border>
      <left style="dashed">
        <color rgb="FF000000"/>
      </left>
      <right/>
      <top/>
      <bottom style="dashed">
        <color rgb="FF000000"/>
      </bottom>
      <diagonal/>
    </border>
    <border>
      <left/>
      <right/>
      <top/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ashed">
        <color rgb="FF000000"/>
      </top>
      <bottom style="dashed">
        <color rgb="FF000000"/>
      </bottom>
      <diagonal/>
    </border>
  </borders>
  <cellStyleXfs count="2">
    <xf numFmtId="0" fontId="0" fillId="0" borderId="0"/>
    <xf numFmtId="0" fontId="36" fillId="0" borderId="0" applyNumberFormat="0" applyFill="0" applyBorder="0" applyAlignment="0" applyProtection="0"/>
  </cellStyleXfs>
  <cellXfs count="308">
    <xf numFmtId="0" fontId="0" fillId="0" borderId="0" xfId="0"/>
    <xf numFmtId="0" fontId="0" fillId="0" borderId="1" xfId="0" applyBorder="1"/>
    <xf numFmtId="0" fontId="1" fillId="2" borderId="0" xfId="0" applyFont="1" applyFill="1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1"/>
    </xf>
    <xf numFmtId="15" fontId="0" fillId="0" borderId="0" xfId="0" applyNumberFormat="1" applyAlignment="1">
      <alignment horizontal="left" indent="1"/>
    </xf>
    <xf numFmtId="0" fontId="1" fillId="3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right" indent="1"/>
    </xf>
    <xf numFmtId="0" fontId="3" fillId="0" borderId="0" xfId="0" applyFont="1" applyAlignment="1">
      <alignment horizontal="left" inden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indent="1"/>
    </xf>
    <xf numFmtId="0" fontId="0" fillId="4" borderId="1" xfId="0" applyFill="1" applyBorder="1"/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5" borderId="0" xfId="0" applyFont="1" applyFill="1"/>
    <xf numFmtId="0" fontId="10" fillId="5" borderId="0" xfId="0" applyFont="1" applyFill="1"/>
    <xf numFmtId="0" fontId="10" fillId="0" borderId="0" xfId="0" applyFont="1"/>
    <xf numFmtId="0" fontId="9" fillId="0" borderId="0" xfId="0" applyFont="1"/>
    <xf numFmtId="0" fontId="11" fillId="6" borderId="5" xfId="0" applyFont="1" applyFill="1" applyBorder="1" applyAlignment="1">
      <alignment wrapText="1"/>
    </xf>
    <xf numFmtId="16" fontId="12" fillId="7" borderId="5" xfId="0" applyNumberFormat="1" applyFont="1" applyFill="1" applyBorder="1" applyAlignment="1">
      <alignment wrapText="1"/>
    </xf>
    <xf numFmtId="16" fontId="12" fillId="7" borderId="7" xfId="0" applyNumberFormat="1" applyFont="1" applyFill="1" applyBorder="1" applyAlignment="1">
      <alignment wrapText="1"/>
    </xf>
    <xf numFmtId="16" fontId="12" fillId="7" borderId="6" xfId="0" applyNumberFormat="1" applyFont="1" applyFill="1" applyBorder="1" applyAlignment="1">
      <alignment wrapText="1"/>
    </xf>
    <xf numFmtId="0" fontId="10" fillId="0" borderId="10" xfId="0" applyFont="1" applyBorder="1"/>
    <xf numFmtId="0" fontId="10" fillId="0" borderId="12" xfId="0" applyFont="1" applyBorder="1" applyAlignment="1">
      <alignment wrapText="1"/>
    </xf>
    <xf numFmtId="0" fontId="10" fillId="8" borderId="13" xfId="0" applyFont="1" applyFill="1" applyBorder="1"/>
    <xf numFmtId="0" fontId="10" fillId="8" borderId="12" xfId="0" applyFont="1" applyFill="1" applyBorder="1"/>
    <xf numFmtId="0" fontId="10" fillId="8" borderId="10" xfId="0" applyFont="1" applyFill="1" applyBorder="1"/>
    <xf numFmtId="0" fontId="10" fillId="8" borderId="16" xfId="0" applyFont="1" applyFill="1" applyBorder="1"/>
    <xf numFmtId="0" fontId="10" fillId="0" borderId="13" xfId="0" applyFont="1" applyBorder="1" applyAlignment="1">
      <alignment wrapText="1"/>
    </xf>
    <xf numFmtId="0" fontId="10" fillId="0" borderId="17" xfId="0" applyFont="1" applyBorder="1"/>
    <xf numFmtId="0" fontId="10" fillId="0" borderId="18" xfId="0" applyFont="1" applyBorder="1"/>
    <xf numFmtId="0" fontId="10" fillId="8" borderId="20" xfId="0" applyFont="1" applyFill="1" applyBorder="1"/>
    <xf numFmtId="0" fontId="10" fillId="0" borderId="20" xfId="0" applyFont="1" applyBorder="1"/>
    <xf numFmtId="0" fontId="17" fillId="0" borderId="0" xfId="0" applyFont="1"/>
    <xf numFmtId="0" fontId="11" fillId="0" borderId="0" xfId="0" applyFont="1"/>
    <xf numFmtId="0" fontId="18" fillId="0" borderId="0" xfId="0" applyFont="1"/>
    <xf numFmtId="0" fontId="16" fillId="0" borderId="0" xfId="0" applyFont="1"/>
    <xf numFmtId="0" fontId="11" fillId="0" borderId="6" xfId="0" applyFont="1" applyBorder="1"/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10" fillId="9" borderId="10" xfId="0" applyFont="1" applyFill="1" applyBorder="1"/>
    <xf numFmtId="0" fontId="10" fillId="9" borderId="12" xfId="0" applyFont="1" applyFill="1" applyBorder="1"/>
    <xf numFmtId="0" fontId="10" fillId="9" borderId="12" xfId="0" applyFont="1" applyFill="1" applyBorder="1" applyAlignment="1">
      <alignment wrapText="1"/>
    </xf>
    <xf numFmtId="0" fontId="10" fillId="9" borderId="13" xfId="0" applyFont="1" applyFill="1" applyBorder="1"/>
    <xf numFmtId="0" fontId="10" fillId="9" borderId="13" xfId="0" applyFont="1" applyFill="1" applyBorder="1" applyAlignment="1">
      <alignment wrapText="1"/>
    </xf>
    <xf numFmtId="0" fontId="10" fillId="9" borderId="16" xfId="0" applyFont="1" applyFill="1" applyBorder="1"/>
    <xf numFmtId="0" fontId="10" fillId="9" borderId="20" xfId="0" applyFont="1" applyFill="1" applyBorder="1"/>
    <xf numFmtId="0" fontId="10" fillId="9" borderId="22" xfId="0" applyFont="1" applyFill="1" applyBorder="1"/>
    <xf numFmtId="166" fontId="24" fillId="0" borderId="33" xfId="0" applyNumberFormat="1" applyFont="1" applyBorder="1" applyAlignment="1">
      <alignment horizontal="center" vertical="center"/>
    </xf>
    <xf numFmtId="166" fontId="24" fillId="0" borderId="34" xfId="0" applyNumberFormat="1" applyFont="1" applyBorder="1" applyAlignment="1">
      <alignment horizontal="center" vertical="center"/>
    </xf>
    <xf numFmtId="166" fontId="24" fillId="0" borderId="35" xfId="0" applyNumberFormat="1" applyFont="1" applyBorder="1" applyAlignment="1">
      <alignment horizontal="center" vertical="center"/>
    </xf>
    <xf numFmtId="166" fontId="24" fillId="0" borderId="36" xfId="0" applyNumberFormat="1" applyFont="1" applyBorder="1" applyAlignment="1">
      <alignment horizontal="center" vertical="center"/>
    </xf>
    <xf numFmtId="166" fontId="24" fillId="0" borderId="37" xfId="0" applyNumberFormat="1" applyFont="1" applyBorder="1" applyAlignment="1">
      <alignment horizontal="center" vertical="center"/>
    </xf>
    <xf numFmtId="0" fontId="25" fillId="12" borderId="38" xfId="0" applyFont="1" applyFill="1" applyBorder="1" applyAlignment="1">
      <alignment horizontal="center" vertical="center"/>
    </xf>
    <xf numFmtId="0" fontId="20" fillId="0" borderId="39" xfId="0" applyFont="1" applyBorder="1"/>
    <xf numFmtId="0" fontId="26" fillId="0" borderId="42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2" fillId="0" borderId="45" xfId="0" applyFont="1" applyBorder="1" applyAlignment="1">
      <alignment readingOrder="1"/>
    </xf>
    <xf numFmtId="0" fontId="22" fillId="0" borderId="46" xfId="0" applyFont="1" applyBorder="1" applyAlignment="1">
      <alignment readingOrder="1"/>
    </xf>
    <xf numFmtId="0" fontId="22" fillId="0" borderId="47" xfId="0" applyFont="1" applyBorder="1" applyAlignment="1">
      <alignment readingOrder="1"/>
    </xf>
    <xf numFmtId="0" fontId="22" fillId="0" borderId="41" xfId="0" applyFont="1" applyBorder="1" applyAlignment="1">
      <alignment readingOrder="1"/>
    </xf>
    <xf numFmtId="0" fontId="26" fillId="13" borderId="42" xfId="0" applyFont="1" applyFill="1" applyBorder="1" applyAlignment="1">
      <alignment horizontal="center" vertical="center"/>
    </xf>
    <xf numFmtId="0" fontId="26" fillId="13" borderId="43" xfId="0" applyFont="1" applyFill="1" applyBorder="1" applyAlignment="1">
      <alignment horizontal="center" vertical="center"/>
    </xf>
    <xf numFmtId="0" fontId="26" fillId="13" borderId="44" xfId="0" applyFont="1" applyFill="1" applyBorder="1" applyAlignment="1">
      <alignment horizontal="center" vertical="center"/>
    </xf>
    <xf numFmtId="0" fontId="26" fillId="13" borderId="44" xfId="0" applyFont="1" applyFill="1" applyBorder="1" applyAlignment="1">
      <alignment horizontal="right" vertical="center"/>
    </xf>
    <xf numFmtId="0" fontId="19" fillId="0" borderId="14" xfId="0" applyFont="1" applyBorder="1"/>
    <xf numFmtId="0" fontId="19" fillId="0" borderId="10" xfId="0" applyFont="1" applyBorder="1"/>
    <xf numFmtId="0" fontId="27" fillId="8" borderId="10" xfId="0" applyFont="1" applyFill="1" applyBorder="1" applyAlignment="1">
      <alignment wrapText="1"/>
    </xf>
    <xf numFmtId="0" fontId="27" fillId="8" borderId="15" xfId="0" applyFont="1" applyFill="1" applyBorder="1" applyAlignment="1">
      <alignment wrapText="1"/>
    </xf>
    <xf numFmtId="0" fontId="19" fillId="0" borderId="21" xfId="0" applyFont="1" applyBorder="1"/>
    <xf numFmtId="0" fontId="19" fillId="0" borderId="22" xfId="0" applyFont="1" applyBorder="1"/>
    <xf numFmtId="0" fontId="27" fillId="0" borderId="22" xfId="0" applyFont="1" applyBorder="1"/>
    <xf numFmtId="0" fontId="27" fillId="0" borderId="19" xfId="0" applyFont="1" applyBorder="1"/>
    <xf numFmtId="2" fontId="11" fillId="7" borderId="12" xfId="0" applyNumberFormat="1" applyFont="1" applyFill="1" applyBorder="1"/>
    <xf numFmtId="0" fontId="20" fillId="0" borderId="0" xfId="0" applyFont="1"/>
    <xf numFmtId="0" fontId="22" fillId="0" borderId="0" xfId="0" applyFont="1" applyAlignment="1">
      <alignment readingOrder="1"/>
    </xf>
    <xf numFmtId="0" fontId="26" fillId="0" borderId="44" xfId="0" applyFont="1" applyBorder="1" applyAlignment="1">
      <alignment horizontal="righ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22" fillId="0" borderId="48" xfId="0" applyFont="1" applyBorder="1" applyAlignment="1">
      <alignment readingOrder="1"/>
    </xf>
    <xf numFmtId="0" fontId="22" fillId="0" borderId="40" xfId="0" applyFont="1" applyBorder="1" applyAlignment="1">
      <alignment readingOrder="1"/>
    </xf>
    <xf numFmtId="0" fontId="21" fillId="10" borderId="49" xfId="0" applyFont="1" applyFill="1" applyBorder="1" applyAlignment="1">
      <alignment readingOrder="1"/>
    </xf>
    <xf numFmtId="0" fontId="21" fillId="10" borderId="50" xfId="0" applyFont="1" applyFill="1" applyBorder="1" applyAlignment="1">
      <alignment readingOrder="1"/>
    </xf>
    <xf numFmtId="0" fontId="22" fillId="14" borderId="46" xfId="0" applyFont="1" applyFill="1" applyBorder="1" applyAlignment="1">
      <alignment readingOrder="1"/>
    </xf>
    <xf numFmtId="0" fontId="22" fillId="14" borderId="48" xfId="0" applyFont="1" applyFill="1" applyBorder="1" applyAlignment="1">
      <alignment readingOrder="1"/>
    </xf>
    <xf numFmtId="0" fontId="22" fillId="14" borderId="41" xfId="0" applyFont="1" applyFill="1" applyBorder="1" applyAlignment="1">
      <alignment readingOrder="1"/>
    </xf>
    <xf numFmtId="0" fontId="26" fillId="15" borderId="42" xfId="0" applyFont="1" applyFill="1" applyBorder="1" applyAlignment="1">
      <alignment horizontal="center" vertical="center"/>
    </xf>
    <xf numFmtId="0" fontId="26" fillId="15" borderId="43" xfId="0" applyFont="1" applyFill="1" applyBorder="1" applyAlignment="1">
      <alignment horizontal="center" vertical="center"/>
    </xf>
    <xf numFmtId="0" fontId="26" fillId="15" borderId="44" xfId="0" applyFont="1" applyFill="1" applyBorder="1" applyAlignment="1">
      <alignment horizontal="center" vertical="center"/>
    </xf>
    <xf numFmtId="0" fontId="26" fillId="16" borderId="43" xfId="0" applyFont="1" applyFill="1" applyBorder="1" applyAlignment="1">
      <alignment horizontal="center" vertical="center"/>
    </xf>
    <xf numFmtId="0" fontId="26" fillId="16" borderId="44" xfId="0" applyFont="1" applyFill="1" applyBorder="1" applyAlignment="1">
      <alignment horizontal="center" vertical="center"/>
    </xf>
    <xf numFmtId="0" fontId="28" fillId="14" borderId="45" xfId="0" applyFont="1" applyFill="1" applyBorder="1" applyAlignment="1">
      <alignment readingOrder="1"/>
    </xf>
    <xf numFmtId="0" fontId="28" fillId="0" borderId="46" xfId="0" applyFont="1" applyBorder="1" applyAlignment="1">
      <alignment readingOrder="1"/>
    </xf>
    <xf numFmtId="0" fontId="28" fillId="14" borderId="41" xfId="0" applyFont="1" applyFill="1" applyBorder="1" applyAlignment="1">
      <alignment readingOrder="1"/>
    </xf>
    <xf numFmtId="0" fontId="28" fillId="14" borderId="46" xfId="0" applyFont="1" applyFill="1" applyBorder="1" applyAlignment="1">
      <alignment readingOrder="1"/>
    </xf>
    <xf numFmtId="0" fontId="26" fillId="17" borderId="42" xfId="0" applyFont="1" applyFill="1" applyBorder="1" applyAlignment="1">
      <alignment horizontal="center" vertical="center"/>
    </xf>
    <xf numFmtId="0" fontId="26" fillId="17" borderId="43" xfId="0" applyFont="1" applyFill="1" applyBorder="1" applyAlignment="1">
      <alignment horizontal="center" vertical="center"/>
    </xf>
    <xf numFmtId="0" fontId="26" fillId="17" borderId="44" xfId="0" applyFont="1" applyFill="1" applyBorder="1" applyAlignment="1">
      <alignment horizontal="center" vertical="center"/>
    </xf>
    <xf numFmtId="0" fontId="29" fillId="18" borderId="23" xfId="0" applyFont="1" applyFill="1" applyBorder="1"/>
    <xf numFmtId="0" fontId="20" fillId="0" borderId="23" xfId="0" applyFont="1" applyBorder="1"/>
    <xf numFmtId="0" fontId="2" fillId="0" borderId="0" xfId="0" applyFont="1"/>
    <xf numFmtId="0" fontId="30" fillId="16" borderId="42" xfId="0" applyFont="1" applyFill="1" applyBorder="1" applyAlignment="1">
      <alignment horizontal="center" vertical="center"/>
    </xf>
    <xf numFmtId="0" fontId="30" fillId="17" borderId="44" xfId="0" applyFont="1" applyFill="1" applyBorder="1" applyAlignment="1">
      <alignment horizontal="center" vertical="center"/>
    </xf>
    <xf numFmtId="0" fontId="30" fillId="17" borderId="44" xfId="0" applyFont="1" applyFill="1" applyBorder="1" applyAlignment="1">
      <alignment horizontal="right" vertical="center"/>
    </xf>
    <xf numFmtId="0" fontId="10" fillId="15" borderId="0" xfId="0" applyFont="1" applyFill="1"/>
    <xf numFmtId="0" fontId="16" fillId="15" borderId="0" xfId="0" applyFont="1" applyFill="1"/>
    <xf numFmtId="17" fontId="0" fillId="0" borderId="0" xfId="0" applyNumberFormat="1"/>
    <xf numFmtId="0" fontId="2" fillId="0" borderId="0" xfId="0" applyFont="1" applyAlignment="1">
      <alignment horizontal="right"/>
    </xf>
    <xf numFmtId="15" fontId="31" fillId="0" borderId="0" xfId="0" applyNumberFormat="1" applyFont="1"/>
    <xf numFmtId="0" fontId="33" fillId="0" borderId="0" xfId="0" applyFont="1"/>
    <xf numFmtId="0" fontId="30" fillId="0" borderId="44" xfId="0" applyFont="1" applyBorder="1" applyAlignment="1">
      <alignment horizontal="center" vertical="center"/>
    </xf>
    <xf numFmtId="0" fontId="30" fillId="0" borderId="44" xfId="0" applyFont="1" applyBorder="1" applyAlignment="1">
      <alignment horizontal="right" vertical="center"/>
    </xf>
    <xf numFmtId="0" fontId="26" fillId="17" borderId="44" xfId="0" applyFont="1" applyFill="1" applyBorder="1" applyAlignment="1">
      <alignment horizontal="right" vertical="center"/>
    </xf>
    <xf numFmtId="0" fontId="26" fillId="15" borderId="44" xfId="0" applyFont="1" applyFill="1" applyBorder="1" applyAlignment="1">
      <alignment horizontal="right" vertical="center"/>
    </xf>
    <xf numFmtId="0" fontId="34" fillId="0" borderId="0" xfId="0" applyFont="1"/>
    <xf numFmtId="0" fontId="35" fillId="0" borderId="46" xfId="0" applyFont="1" applyBorder="1" applyAlignment="1">
      <alignment readingOrder="1"/>
    </xf>
    <xf numFmtId="0" fontId="35" fillId="0" borderId="41" xfId="0" applyFont="1" applyBorder="1" applyAlignment="1">
      <alignment readingOrder="1"/>
    </xf>
    <xf numFmtId="0" fontId="26" fillId="16" borderId="42" xfId="0" applyFont="1" applyFill="1" applyBorder="1" applyAlignment="1">
      <alignment horizontal="center" vertical="center"/>
    </xf>
    <xf numFmtId="0" fontId="37" fillId="0" borderId="0" xfId="1" applyFont="1"/>
    <xf numFmtId="0" fontId="2" fillId="0" borderId="2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8" fillId="0" borderId="0" xfId="0" applyFont="1"/>
    <xf numFmtId="0" fontId="39" fillId="0" borderId="0" xfId="0" applyFont="1"/>
    <xf numFmtId="0" fontId="40" fillId="0" borderId="0" xfId="0" applyFont="1"/>
    <xf numFmtId="0" fontId="2" fillId="19" borderId="51" xfId="0" applyFont="1" applyFill="1" applyBorder="1" applyAlignment="1">
      <alignment horizontal="center" vertical="top"/>
    </xf>
    <xf numFmtId="0" fontId="0" fillId="0" borderId="51" xfId="0" applyBorder="1" applyAlignment="1">
      <alignment horizontal="center" vertical="top"/>
    </xf>
    <xf numFmtId="0" fontId="0" fillId="0" borderId="51" xfId="0" applyBorder="1" applyAlignment="1">
      <alignment vertical="top"/>
    </xf>
    <xf numFmtId="0" fontId="0" fillId="0" borderId="51" xfId="0" quotePrefix="1" applyBorder="1" applyAlignment="1">
      <alignment vertical="top" wrapText="1"/>
    </xf>
    <xf numFmtId="0" fontId="0" fillId="0" borderId="51" xfId="0" quotePrefix="1" applyBorder="1" applyAlignment="1">
      <alignment vertical="top"/>
    </xf>
    <xf numFmtId="0" fontId="0" fillId="0" borderId="51" xfId="0" applyBorder="1" applyAlignment="1">
      <alignment horizontal="center"/>
    </xf>
    <xf numFmtId="0" fontId="0" fillId="0" borderId="51" xfId="0" applyBorder="1"/>
    <xf numFmtId="0" fontId="0" fillId="0" borderId="52" xfId="0" applyBorder="1" applyAlignment="1">
      <alignment horizontal="center" vertical="top"/>
    </xf>
    <xf numFmtId="0" fontId="0" fillId="0" borderId="52" xfId="0" applyBorder="1" applyAlignment="1">
      <alignment vertical="top"/>
    </xf>
    <xf numFmtId="0" fontId="0" fillId="0" borderId="52" xfId="0" applyBorder="1" applyAlignment="1">
      <alignment horizontal="center"/>
    </xf>
    <xf numFmtId="0" fontId="0" fillId="0" borderId="52" xfId="0" applyBorder="1"/>
    <xf numFmtId="0" fontId="26" fillId="9" borderId="42" xfId="0" applyFont="1" applyFill="1" applyBorder="1" applyAlignment="1">
      <alignment horizontal="center" vertical="center"/>
    </xf>
    <xf numFmtId="0" fontId="26" fillId="9" borderId="43" xfId="0" applyFont="1" applyFill="1" applyBorder="1" applyAlignment="1">
      <alignment horizontal="center" vertical="center"/>
    </xf>
    <xf numFmtId="0" fontId="30" fillId="9" borderId="44" xfId="0" applyFont="1" applyFill="1" applyBorder="1" applyAlignment="1">
      <alignment horizontal="center" vertical="center"/>
    </xf>
    <xf numFmtId="0" fontId="41" fillId="17" borderId="44" xfId="0" applyFont="1" applyFill="1" applyBorder="1" applyAlignment="1">
      <alignment horizontal="center" vertical="center"/>
    </xf>
    <xf numFmtId="0" fontId="41" fillId="17" borderId="44" xfId="0" applyFont="1" applyFill="1" applyBorder="1" applyAlignment="1">
      <alignment horizontal="right" vertical="center"/>
    </xf>
    <xf numFmtId="0" fontId="42" fillId="0" borderId="46" xfId="0" applyFont="1" applyBorder="1" applyAlignment="1">
      <alignment readingOrder="1"/>
    </xf>
    <xf numFmtId="0" fontId="42" fillId="0" borderId="41" xfId="0" applyFont="1" applyBorder="1" applyAlignment="1">
      <alignment readingOrder="1"/>
    </xf>
    <xf numFmtId="0" fontId="41" fillId="17" borderId="43" xfId="0" applyFont="1" applyFill="1" applyBorder="1" applyAlignment="1">
      <alignment horizontal="center" vertical="center"/>
    </xf>
    <xf numFmtId="0" fontId="41" fillId="0" borderId="0" xfId="0" applyFont="1"/>
    <xf numFmtId="0" fontId="48" fillId="0" borderId="39" xfId="0" applyFont="1" applyBorder="1"/>
    <xf numFmtId="0" fontId="44" fillId="14" borderId="41" xfId="0" applyFont="1" applyFill="1" applyBorder="1" applyAlignment="1">
      <alignment readingOrder="1"/>
    </xf>
    <xf numFmtId="0" fontId="41" fillId="0" borderId="44" xfId="0" applyFont="1" applyBorder="1" applyAlignment="1">
      <alignment horizontal="right" vertical="center"/>
    </xf>
    <xf numFmtId="0" fontId="41" fillId="0" borderId="43" xfId="0" applyFont="1" applyBorder="1" applyAlignment="1">
      <alignment horizontal="center" vertical="center"/>
    </xf>
    <xf numFmtId="0" fontId="26" fillId="21" borderId="42" xfId="0" applyFont="1" applyFill="1" applyBorder="1" applyAlignment="1">
      <alignment horizontal="center" vertical="center"/>
    </xf>
    <xf numFmtId="0" fontId="26" fillId="21" borderId="43" xfId="0" applyFont="1" applyFill="1" applyBorder="1" applyAlignment="1">
      <alignment horizontal="center" vertical="center"/>
    </xf>
    <xf numFmtId="0" fontId="26" fillId="21" borderId="44" xfId="0" applyFont="1" applyFill="1" applyBorder="1" applyAlignment="1">
      <alignment horizontal="right" vertical="center"/>
    </xf>
    <xf numFmtId="0" fontId="26" fillId="22" borderId="42" xfId="0" applyFont="1" applyFill="1" applyBorder="1" applyAlignment="1">
      <alignment horizontal="center" vertical="center"/>
    </xf>
    <xf numFmtId="0" fontId="26" fillId="22" borderId="43" xfId="0" applyFont="1" applyFill="1" applyBorder="1" applyAlignment="1">
      <alignment horizontal="center" vertical="center"/>
    </xf>
    <xf numFmtId="0" fontId="26" fillId="22" borderId="44" xfId="0" applyFont="1" applyFill="1" applyBorder="1" applyAlignment="1">
      <alignment horizontal="right" vertical="center"/>
    </xf>
    <xf numFmtId="0" fontId="13" fillId="0" borderId="8" xfId="0" applyFont="1" applyBorder="1" applyAlignment="1">
      <alignment textRotation="90"/>
    </xf>
    <xf numFmtId="0" fontId="27" fillId="8" borderId="0" xfId="0" applyFont="1" applyFill="1" applyAlignment="1">
      <alignment wrapText="1"/>
    </xf>
    <xf numFmtId="0" fontId="11" fillId="0" borderId="6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0" fillId="9" borderId="54" xfId="0" applyFont="1" applyFill="1" applyBorder="1" applyAlignment="1">
      <alignment horizontal="left"/>
    </xf>
    <xf numFmtId="0" fontId="11" fillId="4" borderId="55" xfId="0" applyFont="1" applyFill="1" applyBorder="1"/>
    <xf numFmtId="0" fontId="10" fillId="8" borderId="16" xfId="0" applyFont="1" applyFill="1" applyBorder="1" applyAlignment="1">
      <alignment horizontal="right"/>
    </xf>
    <xf numFmtId="0" fontId="10" fillId="0" borderId="10" xfId="0" applyFont="1" applyBorder="1" applyAlignment="1">
      <alignment horizontal="right"/>
    </xf>
    <xf numFmtId="0" fontId="19" fillId="0" borderId="14" xfId="0" applyFont="1" applyBorder="1" applyAlignment="1">
      <alignment horizontal="right"/>
    </xf>
    <xf numFmtId="0" fontId="19" fillId="0" borderId="10" xfId="0" applyFont="1" applyBorder="1" applyAlignment="1">
      <alignment horizontal="right"/>
    </xf>
    <xf numFmtId="0" fontId="27" fillId="8" borderId="10" xfId="0" applyFont="1" applyFill="1" applyBorder="1" applyAlignment="1">
      <alignment horizontal="right" wrapText="1"/>
    </xf>
    <xf numFmtId="0" fontId="10" fillId="9" borderId="51" xfId="0" applyFont="1" applyFill="1" applyBorder="1" applyAlignment="1">
      <alignment horizontal="right"/>
    </xf>
    <xf numFmtId="0" fontId="10" fillId="9" borderId="10" xfId="0" applyFont="1" applyFill="1" applyBorder="1" applyAlignment="1">
      <alignment horizontal="right"/>
    </xf>
    <xf numFmtId="0" fontId="10" fillId="9" borderId="52" xfId="0" applyFont="1" applyFill="1" applyBorder="1" applyAlignment="1">
      <alignment horizontal="right"/>
    </xf>
    <xf numFmtId="0" fontId="10" fillId="9" borderId="17" xfId="0" applyFont="1" applyFill="1" applyBorder="1" applyAlignment="1">
      <alignment horizontal="right"/>
    </xf>
    <xf numFmtId="0" fontId="50" fillId="0" borderId="0" xfId="0" applyFont="1"/>
    <xf numFmtId="0" fontId="51" fillId="0" borderId="0" xfId="0" applyFont="1"/>
    <xf numFmtId="0" fontId="0" fillId="0" borderId="56" xfId="0" applyBorder="1"/>
    <xf numFmtId="0" fontId="0" fillId="0" borderId="57" xfId="0" applyBorder="1"/>
    <xf numFmtId="0" fontId="0" fillId="0" borderId="18" xfId="0" applyBorder="1"/>
    <xf numFmtId="0" fontId="0" fillId="0" borderId="58" xfId="0" applyBorder="1"/>
    <xf numFmtId="0" fontId="0" fillId="0" borderId="54" xfId="0" applyBorder="1"/>
    <xf numFmtId="0" fontId="0" fillId="0" borderId="10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39" xfId="0" applyBorder="1"/>
    <xf numFmtId="0" fontId="0" fillId="0" borderId="17" xfId="0" applyBorder="1"/>
    <xf numFmtId="0" fontId="2" fillId="0" borderId="59" xfId="0" applyFont="1" applyBorder="1"/>
    <xf numFmtId="0" fontId="2" fillId="0" borderId="60" xfId="0" applyFont="1" applyBorder="1"/>
    <xf numFmtId="0" fontId="0" fillId="0" borderId="56" xfId="0" applyBorder="1" applyAlignment="1">
      <alignment horizontal="left"/>
    </xf>
    <xf numFmtId="0" fontId="0" fillId="0" borderId="5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7" xfId="0" applyBorder="1" applyAlignment="1">
      <alignment horizontal="left"/>
    </xf>
    <xf numFmtId="0" fontId="0" fillId="0" borderId="58" xfId="0" applyBorder="1" applyAlignment="1">
      <alignment horizontal="left"/>
    </xf>
    <xf numFmtId="0" fontId="0" fillId="0" borderId="54" xfId="0" applyBorder="1" applyAlignment="1">
      <alignment horizontal="left"/>
    </xf>
    <xf numFmtId="0" fontId="0" fillId="0" borderId="10" xfId="0" applyBorder="1" applyAlignment="1">
      <alignment horizontal="left"/>
    </xf>
    <xf numFmtId="0" fontId="52" fillId="0" borderId="0" xfId="0" applyFont="1"/>
    <xf numFmtId="0" fontId="53" fillId="0" borderId="0" xfId="0" applyFont="1"/>
    <xf numFmtId="0" fontId="54" fillId="0" borderId="0" xfId="0" applyFont="1"/>
    <xf numFmtId="0" fontId="56" fillId="0" borderId="0" xfId="0" applyFont="1"/>
    <xf numFmtId="9" fontId="22" fillId="14" borderId="48" xfId="0" applyNumberFormat="1" applyFont="1" applyFill="1" applyBorder="1" applyAlignment="1">
      <alignment readingOrder="1"/>
    </xf>
    <xf numFmtId="9" fontId="57" fillId="0" borderId="48" xfId="0" applyNumberFormat="1" applyFont="1" applyBorder="1" applyAlignment="1">
      <alignment readingOrder="1"/>
    </xf>
    <xf numFmtId="9" fontId="58" fillId="0" borderId="23" xfId="0" applyNumberFormat="1" applyFont="1" applyBorder="1"/>
    <xf numFmtId="166" fontId="24" fillId="23" borderId="34" xfId="0" applyNumberFormat="1" applyFont="1" applyFill="1" applyBorder="1" applyAlignment="1">
      <alignment horizontal="center" vertical="center"/>
    </xf>
    <xf numFmtId="0" fontId="0" fillId="24" borderId="0" xfId="0" applyFill="1"/>
    <xf numFmtId="0" fontId="26" fillId="24" borderId="43" xfId="0" applyFont="1" applyFill="1" applyBorder="1" applyAlignment="1">
      <alignment horizontal="center" vertical="center"/>
    </xf>
    <xf numFmtId="0" fontId="26" fillId="25" borderId="44" xfId="0" applyFont="1" applyFill="1" applyBorder="1" applyAlignment="1">
      <alignment horizontal="center" vertical="center"/>
    </xf>
    <xf numFmtId="0" fontId="26" fillId="25" borderId="42" xfId="0" applyFont="1" applyFill="1" applyBorder="1" applyAlignment="1">
      <alignment horizontal="center" vertical="center"/>
    </xf>
    <xf numFmtId="0" fontId="59" fillId="0" borderId="0" xfId="0" applyFont="1"/>
    <xf numFmtId="9" fontId="58" fillId="0" borderId="0" xfId="0" applyNumberFormat="1" applyFont="1"/>
    <xf numFmtId="167" fontId="22" fillId="14" borderId="46" xfId="0" applyNumberFormat="1" applyFont="1" applyFill="1" applyBorder="1" applyAlignment="1">
      <alignment readingOrder="1"/>
    </xf>
    <xf numFmtId="167" fontId="22" fillId="0" borderId="46" xfId="0" applyNumberFormat="1" applyFont="1" applyBorder="1" applyAlignment="1">
      <alignment readingOrder="1"/>
    </xf>
    <xf numFmtId="167" fontId="22" fillId="0" borderId="41" xfId="0" applyNumberFormat="1" applyFont="1" applyBorder="1" applyAlignment="1">
      <alignment readingOrder="1"/>
    </xf>
    <xf numFmtId="167" fontId="42" fillId="0" borderId="46" xfId="0" applyNumberFormat="1" applyFont="1" applyBorder="1" applyAlignment="1">
      <alignment readingOrder="1"/>
    </xf>
    <xf numFmtId="167" fontId="42" fillId="0" borderId="41" xfId="0" applyNumberFormat="1" applyFont="1" applyBorder="1" applyAlignment="1">
      <alignment readingOrder="1"/>
    </xf>
    <xf numFmtId="167" fontId="44" fillId="14" borderId="41" xfId="0" applyNumberFormat="1" applyFont="1" applyFill="1" applyBorder="1" applyAlignment="1">
      <alignment readingOrder="1"/>
    </xf>
    <xf numFmtId="0" fontId="28" fillId="14" borderId="47" xfId="0" applyFont="1" applyFill="1" applyBorder="1" applyAlignment="1">
      <alignment readingOrder="1"/>
    </xf>
    <xf numFmtId="0" fontId="28" fillId="14" borderId="62" xfId="0" applyFont="1" applyFill="1" applyBorder="1" applyAlignment="1">
      <alignment readingOrder="1"/>
    </xf>
    <xf numFmtId="0" fontId="21" fillId="10" borderId="23" xfId="0" applyFont="1" applyFill="1" applyBorder="1" applyAlignment="1">
      <alignment readingOrder="1"/>
    </xf>
    <xf numFmtId="9" fontId="22" fillId="14" borderId="23" xfId="0" applyNumberFormat="1" applyFont="1" applyFill="1" applyBorder="1" applyAlignment="1">
      <alignment readingOrder="1"/>
    </xf>
    <xf numFmtId="9" fontId="57" fillId="0" borderId="23" xfId="0" applyNumberFormat="1" applyFont="1" applyBorder="1" applyAlignment="1">
      <alignment readingOrder="1"/>
    </xf>
    <xf numFmtId="9" fontId="60" fillId="0" borderId="23" xfId="0" applyNumberFormat="1" applyFont="1" applyBorder="1"/>
    <xf numFmtId="0" fontId="61" fillId="0" borderId="0" xfId="0" applyFont="1"/>
    <xf numFmtId="0" fontId="62" fillId="0" borderId="0" xfId="1" applyFont="1"/>
    <xf numFmtId="0" fontId="63" fillId="0" borderId="47" xfId="0" applyFont="1" applyBorder="1" applyAlignment="1">
      <alignment readingOrder="1"/>
    </xf>
    <xf numFmtId="0" fontId="63" fillId="0" borderId="62" xfId="0" applyFont="1" applyBorder="1" applyAlignment="1">
      <alignment readingOrder="1"/>
    </xf>
    <xf numFmtId="0" fontId="0" fillId="0" borderId="0" xfId="0" applyAlignment="1">
      <alignment vertical="top"/>
    </xf>
    <xf numFmtId="0" fontId="0" fillId="0" borderId="51" xfId="0" applyBorder="1" applyAlignment="1">
      <alignment vertical="top" wrapText="1"/>
    </xf>
    <xf numFmtId="0" fontId="50" fillId="0" borderId="54" xfId="0" applyFont="1" applyBorder="1" applyAlignment="1">
      <alignment horizontal="left"/>
    </xf>
    <xf numFmtId="0" fontId="22" fillId="26" borderId="0" xfId="0" applyFont="1" applyFill="1" applyAlignment="1">
      <alignment readingOrder="1"/>
    </xf>
    <xf numFmtId="0" fontId="50" fillId="26" borderId="0" xfId="0" applyFont="1" applyFill="1"/>
    <xf numFmtId="0" fontId="26" fillId="26" borderId="0" xfId="0" applyFont="1" applyFill="1" applyAlignment="1">
      <alignment horizontal="center" vertical="center"/>
    </xf>
    <xf numFmtId="0" fontId="22" fillId="26" borderId="0" xfId="0" applyFont="1" applyFill="1" applyAlignment="1">
      <alignment horizontal="left" readingOrder="1"/>
    </xf>
    <xf numFmtId="0" fontId="0" fillId="26" borderId="59" xfId="0" applyFill="1" applyBorder="1"/>
    <xf numFmtId="0" fontId="26" fillId="26" borderId="60" xfId="0" applyFont="1" applyFill="1" applyBorder="1" applyAlignment="1">
      <alignment horizontal="center" vertical="center"/>
    </xf>
    <xf numFmtId="0" fontId="26" fillId="26" borderId="61" xfId="0" applyFont="1" applyFill="1" applyBorder="1" applyAlignment="1">
      <alignment horizontal="center" vertical="center"/>
    </xf>
    <xf numFmtId="0" fontId="26" fillId="26" borderId="54" xfId="0" applyFont="1" applyFill="1" applyBorder="1" applyAlignment="1">
      <alignment horizontal="center" vertical="center"/>
    </xf>
    <xf numFmtId="0" fontId="26" fillId="26" borderId="10" xfId="0" applyFont="1" applyFill="1" applyBorder="1" applyAlignment="1">
      <alignment horizontal="center" vertical="center"/>
    </xf>
    <xf numFmtId="0" fontId="65" fillId="26" borderId="0" xfId="0" applyFont="1" applyFill="1" applyAlignment="1">
      <alignment horizontal="left" vertical="center"/>
    </xf>
    <xf numFmtId="0" fontId="66" fillId="0" borderId="51" xfId="0" applyFont="1" applyBorder="1" applyAlignment="1">
      <alignment vertical="top" wrapText="1"/>
    </xf>
    <xf numFmtId="49" fontId="0" fillId="0" borderId="51" xfId="0" applyNumberFormat="1" applyBorder="1" applyAlignment="1">
      <alignment vertical="top" wrapText="1"/>
    </xf>
    <xf numFmtId="0" fontId="16" fillId="26" borderId="59" xfId="0" applyFont="1" applyFill="1" applyBorder="1"/>
    <xf numFmtId="0" fontId="16" fillId="26" borderId="58" xfId="0" applyFont="1" applyFill="1" applyBorder="1"/>
    <xf numFmtId="9" fontId="34" fillId="0" borderId="0" xfId="0" applyNumberFormat="1" applyFont="1"/>
    <xf numFmtId="0" fontId="28" fillId="24" borderId="46" xfId="0" applyFont="1" applyFill="1" applyBorder="1" applyAlignment="1">
      <alignment readingOrder="1"/>
    </xf>
    <xf numFmtId="0" fontId="22" fillId="24" borderId="46" xfId="0" applyFont="1" applyFill="1" applyBorder="1" applyAlignment="1">
      <alignment readingOrder="1"/>
    </xf>
    <xf numFmtId="167" fontId="22" fillId="24" borderId="41" xfId="0" applyNumberFormat="1" applyFont="1" applyFill="1" applyBorder="1" applyAlignment="1">
      <alignment readingOrder="1"/>
    </xf>
    <xf numFmtId="167" fontId="22" fillId="24" borderId="46" xfId="0" applyNumberFormat="1" applyFont="1" applyFill="1" applyBorder="1" applyAlignment="1">
      <alignment readingOrder="1"/>
    </xf>
    <xf numFmtId="0" fontId="63" fillId="24" borderId="47" xfId="0" applyFont="1" applyFill="1" applyBorder="1" applyAlignment="1">
      <alignment readingOrder="1"/>
    </xf>
    <xf numFmtId="9" fontId="57" fillId="24" borderId="23" xfId="0" applyNumberFormat="1" applyFont="1" applyFill="1" applyBorder="1" applyAlignment="1">
      <alignment readingOrder="1"/>
    </xf>
    <xf numFmtId="0" fontId="26" fillId="24" borderId="42" xfId="0" applyFont="1" applyFill="1" applyBorder="1" applyAlignment="1">
      <alignment horizontal="center" vertical="center"/>
    </xf>
    <xf numFmtId="0" fontId="26" fillId="24" borderId="44" xfId="0" applyFont="1" applyFill="1" applyBorder="1" applyAlignment="1">
      <alignment horizontal="center" vertical="center"/>
    </xf>
    <xf numFmtId="0" fontId="26" fillId="24" borderId="44" xfId="0" applyFont="1" applyFill="1" applyBorder="1" applyAlignment="1">
      <alignment horizontal="right" vertical="center"/>
    </xf>
    <xf numFmtId="0" fontId="22" fillId="24" borderId="41" xfId="0" applyFont="1" applyFill="1" applyBorder="1" applyAlignment="1">
      <alignment readingOrder="1"/>
    </xf>
    <xf numFmtId="0" fontId="63" fillId="24" borderId="62" xfId="0" applyFont="1" applyFill="1" applyBorder="1" applyAlignment="1">
      <alignment readingOrder="1"/>
    </xf>
    <xf numFmtId="0" fontId="0" fillId="0" borderId="52" xfId="0" applyBorder="1" applyAlignment="1">
      <alignment vertical="top" wrapText="1"/>
    </xf>
    <xf numFmtId="0" fontId="66" fillId="0" borderId="52" xfId="0" applyFont="1" applyBorder="1" applyAlignment="1">
      <alignment vertical="top" wrapText="1"/>
    </xf>
    <xf numFmtId="0" fontId="2" fillId="14" borderId="51" xfId="0" applyFont="1" applyFill="1" applyBorder="1" applyAlignment="1">
      <alignment vertical="top"/>
    </xf>
    <xf numFmtId="0" fontId="2" fillId="14" borderId="51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15" fontId="2" fillId="14" borderId="51" xfId="0" applyNumberFormat="1" applyFont="1" applyFill="1" applyBorder="1" applyAlignment="1">
      <alignment horizontal="right" vertical="top"/>
    </xf>
    <xf numFmtId="15" fontId="0" fillId="0" borderId="51" xfId="0" applyNumberFormat="1" applyBorder="1" applyAlignment="1">
      <alignment horizontal="right" vertical="top"/>
    </xf>
    <xf numFmtId="15" fontId="0" fillId="0" borderId="52" xfId="0" applyNumberFormat="1" applyBorder="1" applyAlignment="1">
      <alignment horizontal="right" vertical="top"/>
    </xf>
    <xf numFmtId="15" fontId="0" fillId="0" borderId="0" xfId="0" applyNumberFormat="1" applyAlignment="1">
      <alignment horizontal="right" vertical="top"/>
    </xf>
    <xf numFmtId="0" fontId="69" fillId="14" borderId="51" xfId="0" applyFont="1" applyFill="1" applyBorder="1" applyAlignment="1">
      <alignment vertical="top"/>
    </xf>
    <xf numFmtId="0" fontId="68" fillId="0" borderId="52" xfId="0" applyFont="1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42" fillId="0" borderId="0" xfId="0" applyFont="1" applyAlignment="1">
      <alignment readingOrder="1"/>
    </xf>
    <xf numFmtId="0" fontId="42" fillId="0" borderId="0" xfId="0" applyFont="1"/>
    <xf numFmtId="0" fontId="49" fillId="20" borderId="53" xfId="0" applyFont="1" applyFill="1" applyBorder="1" applyAlignment="1">
      <alignment horizontal="center"/>
    </xf>
    <xf numFmtId="0" fontId="49" fillId="20" borderId="0" xfId="0" applyFont="1" applyFill="1" applyAlignment="1">
      <alignment horizontal="center"/>
    </xf>
    <xf numFmtId="15" fontId="32" fillId="0" borderId="0" xfId="0" applyNumberFormat="1" applyFont="1" applyAlignment="1">
      <alignment horizontal="center"/>
    </xf>
    <xf numFmtId="0" fontId="0" fillId="0" borderId="24" xfId="0" applyBorder="1" applyAlignment="1">
      <alignment horizontal="center"/>
    </xf>
    <xf numFmtId="165" fontId="23" fillId="11" borderId="25" xfId="0" applyNumberFormat="1" applyFont="1" applyFill="1" applyBorder="1" applyAlignment="1">
      <alignment horizontal="center" vertical="center"/>
    </xf>
    <xf numFmtId="165" fontId="23" fillId="11" borderId="26" xfId="0" applyNumberFormat="1" applyFont="1" applyFill="1" applyBorder="1" applyAlignment="1">
      <alignment horizontal="center" vertical="center"/>
    </xf>
    <xf numFmtId="165" fontId="23" fillId="11" borderId="27" xfId="0" applyNumberFormat="1" applyFont="1" applyFill="1" applyBorder="1" applyAlignment="1">
      <alignment horizontal="center" vertical="center"/>
    </xf>
    <xf numFmtId="165" fontId="23" fillId="0" borderId="28" xfId="0" applyNumberFormat="1" applyFont="1" applyBorder="1" applyAlignment="1">
      <alignment horizontal="center" vertical="center"/>
    </xf>
    <xf numFmtId="165" fontId="23" fillId="0" borderId="29" xfId="0" applyNumberFormat="1" applyFont="1" applyBorder="1" applyAlignment="1">
      <alignment horizontal="center" vertical="center"/>
    </xf>
    <xf numFmtId="165" fontId="23" fillId="0" borderId="30" xfId="0" applyNumberFormat="1" applyFont="1" applyBorder="1" applyAlignment="1">
      <alignment horizontal="center" vertical="center"/>
    </xf>
    <xf numFmtId="165" fontId="23" fillId="0" borderId="31" xfId="0" applyNumberFormat="1" applyFont="1" applyBorder="1" applyAlignment="1">
      <alignment horizontal="center" vertical="center"/>
    </xf>
    <xf numFmtId="165" fontId="23" fillId="0" borderId="32" xfId="0" applyNumberFormat="1" applyFont="1" applyBorder="1" applyAlignment="1">
      <alignment horizontal="center" vertical="center"/>
    </xf>
    <xf numFmtId="0" fontId="0" fillId="0" borderId="58" xfId="0" applyBorder="1" applyAlignment="1">
      <alignment horizontal="left"/>
    </xf>
    <xf numFmtId="0" fontId="0" fillId="0" borderId="54" xfId="0" applyBorder="1" applyAlignment="1">
      <alignment horizontal="left"/>
    </xf>
    <xf numFmtId="0" fontId="0" fillId="0" borderId="10" xfId="0" applyBorder="1" applyAlignment="1">
      <alignment horizontal="left"/>
    </xf>
    <xf numFmtId="0" fontId="2" fillId="0" borderId="59" xfId="0" applyFont="1" applyBorder="1" applyAlignment="1">
      <alignment horizontal="left"/>
    </xf>
    <xf numFmtId="0" fontId="2" fillId="0" borderId="60" xfId="0" applyFont="1" applyBorder="1" applyAlignment="1">
      <alignment horizontal="left"/>
    </xf>
    <xf numFmtId="0" fontId="2" fillId="0" borderId="61" xfId="0" applyFont="1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7" xfId="0" applyBorder="1" applyAlignment="1">
      <alignment horizontal="left"/>
    </xf>
    <xf numFmtId="0" fontId="4" fillId="0" borderId="1" xfId="0" applyFont="1" applyBorder="1" applyAlignment="1">
      <alignment horizontal="left" indent="1"/>
    </xf>
    <xf numFmtId="0" fontId="4" fillId="4" borderId="1" xfId="0" applyFont="1" applyFill="1" applyBorder="1" applyAlignment="1">
      <alignment horizontal="left" indent="1"/>
    </xf>
    <xf numFmtId="164" fontId="4" fillId="0" borderId="2" xfId="0" applyNumberFormat="1" applyFont="1" applyBorder="1" applyAlignment="1">
      <alignment horizontal="left" indent="1"/>
    </xf>
    <xf numFmtId="164" fontId="4" fillId="0" borderId="4" xfId="0" applyNumberFormat="1" applyFont="1" applyBorder="1" applyAlignment="1">
      <alignment horizontal="left" indent="1"/>
    </xf>
    <xf numFmtId="164" fontId="4" fillId="0" borderId="3" xfId="0" applyNumberFormat="1" applyFont="1" applyBorder="1" applyAlignment="1">
      <alignment horizontal="left" indent="1"/>
    </xf>
    <xf numFmtId="0" fontId="13" fillId="0" borderId="8" xfId="0" applyFont="1" applyBorder="1" applyAlignment="1">
      <alignment textRotation="90"/>
    </xf>
    <xf numFmtId="0" fontId="13" fillId="0" borderId="9" xfId="0" applyFont="1" applyBorder="1" applyAlignment="1">
      <alignment textRotation="90"/>
    </xf>
    <xf numFmtId="0" fontId="15" fillId="0" borderId="0" xfId="0" applyFont="1" applyAlignment="1"/>
  </cellXfs>
  <cellStyles count="2">
    <cellStyle name="Hyperlink" xfId="1" builtinId="8"/>
    <cellStyle name="Normal" xfId="0" builtinId="0"/>
  </cellStyles>
  <dxfs count="55">
    <dxf>
      <fill>
        <patternFill>
          <bgColor rgb="FFFFC7CE"/>
        </patternFill>
      </fill>
    </dxf>
    <dxf>
      <fill>
        <patternFill patternType="solid">
          <bgColor rgb="FFFCE4BD"/>
        </patternFill>
      </fill>
    </dxf>
    <dxf>
      <fill>
        <patternFill patternType="solid"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727F7"/>
        <name val="Tahoma"/>
        <charset val="1"/>
        <scheme val="none"/>
      </font>
      <numFmt numFmtId="13" formatCode="0%"/>
      <alignment horizontal="general" vertical="bottom" textRotation="0" wrapText="0" indent="0" justifyLastLine="0" shrinkToFit="0" readingOrder="1"/>
      <border diagonalUp="0" diagonalDown="0">
        <left style="dashed">
          <color rgb="FF000000"/>
        </left>
        <right style="dashed">
          <color rgb="FF000000"/>
        </right>
        <top style="dashed">
          <color rgb="FF000000"/>
        </top>
        <bottom style="dashed">
          <color rgb="FF000000"/>
        </bottom>
        <vertical style="dashed">
          <color rgb="FF000000"/>
        </vertical>
        <horizontal style="dashed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numFmt numFmtId="167" formatCode="[$-409]d\-mmm\-yy;@"/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numFmt numFmtId="167" formatCode="[$-409]d\-mmm\-yy;@"/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numFmt numFmtId="167" formatCode="[$-409]d\-mmm\-yy;@"/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border outline="0">
        <top style="dashed">
          <color rgb="FF000000"/>
        </top>
      </border>
    </dxf>
    <dxf>
      <border outline="0">
        <bottom style="dashed">
          <color rgb="FF000000"/>
        </bottom>
      </border>
    </dxf>
    <dxf>
      <border outline="0">
        <right style="dashed">
          <color rgb="FF000000"/>
        </right>
        <top style="dashed">
          <color rgb="FF000000"/>
        </top>
        <bottom style="dashed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ahoma"/>
        <charset val="1"/>
        <scheme val="none"/>
      </font>
      <fill>
        <patternFill patternType="solid">
          <fgColor indexed="64"/>
          <bgColor rgb="FF538135"/>
        </patternFill>
      </fill>
      <alignment horizontal="general" vertical="bottom" textRotation="0" wrapText="0" indent="0" justifyLastLine="0" shrinkToFit="0" readingOrder="1"/>
      <border diagonalUp="0" diagonalDown="0" outline="0">
        <left style="dashed">
          <color rgb="FF000000"/>
        </left>
        <right style="dashed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numFmt numFmtId="13" formatCode="0%"/>
      <alignment horizontal="general" vertical="bottom" textRotation="0" wrapText="0" indent="0" justifyLastLine="0" shrinkToFit="0" readingOrder="1"/>
      <border diagonalUp="0" diagonalDown="0">
        <left style="dashed">
          <color rgb="FF000000"/>
        </left>
        <right/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border outline="0">
        <top style="dashed">
          <color rgb="FF000000"/>
        </top>
      </border>
    </dxf>
    <dxf>
      <border outline="0">
        <bottom style="dashed">
          <color rgb="FF000000"/>
        </bottom>
      </border>
    </dxf>
    <dxf>
      <border outline="0">
        <right style="dashed">
          <color rgb="FF000000"/>
        </right>
        <top style="dashed">
          <color rgb="FF000000"/>
        </top>
        <bottom style="dashed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ahoma"/>
        <charset val="1"/>
        <scheme val="none"/>
      </font>
      <fill>
        <patternFill patternType="solid">
          <fgColor indexed="64"/>
          <bgColor rgb="FF538135"/>
        </patternFill>
      </fill>
      <alignment horizontal="general" vertical="bottom" textRotation="0" wrapText="0" indent="0" justifyLastLine="0" shrinkToFit="0" readingOrder="1"/>
      <border diagonalUp="0" diagonalDown="0" outline="0">
        <left style="dashed">
          <color rgb="FF000000"/>
        </left>
        <right style="dashed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727F7"/>
        <name val="Tahoma"/>
        <charset val="1"/>
        <scheme val="none"/>
      </font>
      <numFmt numFmtId="13" formatCode="0%"/>
      <alignment horizontal="general" vertical="bottom" textRotation="0" wrapText="0" indent="0" justifyLastLine="0" shrinkToFit="0" readingOrder="1"/>
      <border diagonalUp="0" diagonalDown="0">
        <left style="dashed">
          <color rgb="FF000000"/>
        </left>
        <right style="dashed">
          <color rgb="FF000000"/>
        </right>
        <top style="dashed">
          <color rgb="FF000000"/>
        </top>
        <bottom style="dashed">
          <color rgb="FF000000"/>
        </bottom>
        <vertical style="dashed">
          <color rgb="FF000000"/>
        </vertical>
        <horizontal style="dashed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numFmt numFmtId="167" formatCode="[$-409]d\-mmm\-yy;@"/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numFmt numFmtId="167" formatCode="[$-409]d\-mmm\-yy;@"/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numFmt numFmtId="167" formatCode="[$-409]d\-mmm\-yy;@"/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border outline="0">
        <top style="dashed">
          <color rgb="FF000000"/>
        </top>
      </border>
    </dxf>
    <dxf>
      <border outline="0">
        <bottom style="dashed">
          <color rgb="FF000000"/>
        </bottom>
      </border>
    </dxf>
    <dxf>
      <border outline="0">
        <right style="dashed">
          <color rgb="FF000000"/>
        </right>
        <top style="dashed">
          <color rgb="FF000000"/>
        </top>
        <bottom style="dashed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ahoma"/>
        <charset val="1"/>
        <scheme val="none"/>
      </font>
      <fill>
        <patternFill patternType="solid">
          <fgColor indexed="64"/>
          <bgColor rgb="FF538135"/>
        </patternFill>
      </fill>
      <alignment horizontal="general" vertical="bottom" textRotation="0" wrapText="0" indent="0" justifyLastLine="0" shrinkToFit="0" readingOrder="1"/>
      <border diagonalUp="0" diagonalDown="0" outline="0">
        <left style="dashed">
          <color rgb="FF000000"/>
        </left>
        <right style="dashed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dashed">
          <color rgb="FF000000"/>
        </left>
        <right/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border outline="0">
        <top style="dashed">
          <color rgb="FF000000"/>
        </top>
      </border>
    </dxf>
    <dxf>
      <border outline="0">
        <bottom style="dashed">
          <color rgb="FF000000"/>
        </bottom>
      </border>
    </dxf>
    <dxf>
      <border outline="0">
        <right style="dashed">
          <color rgb="FF000000"/>
        </right>
        <top style="dashed">
          <color rgb="FF000000"/>
        </top>
        <bottom style="dashed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ahoma"/>
        <charset val="1"/>
        <scheme val="none"/>
      </font>
      <fill>
        <patternFill patternType="solid">
          <fgColor indexed="64"/>
          <bgColor rgb="FF538135"/>
        </patternFill>
      </fill>
      <alignment horizontal="general" vertical="bottom" textRotation="0" wrapText="0" indent="0" justifyLastLine="0" shrinkToFit="0" readingOrder="1"/>
      <border diagonalUp="0" diagonalDown="0" outline="0">
        <left style="dashed">
          <color rgb="FF000000"/>
        </left>
        <right style="dashed">
          <color rgb="FF000000"/>
        </right>
        <top/>
        <bottom/>
      </border>
    </dxf>
  </dxfs>
  <tableStyles count="0" defaultTableStyle="TableStyleMedium2" defaultPivotStyle="PivotStyleLight16"/>
  <colors>
    <mruColors>
      <color rgb="FFFCE4BD"/>
      <color rgb="FF0727F7"/>
      <color rgb="FFF2F2F2"/>
      <color rgb="FF0070C0"/>
      <color rgb="FFA6C9EC"/>
      <color rgb="FF00B0F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515812</xdr:colOff>
      <xdr:row>1</xdr:row>
      <xdr:rowOff>65968</xdr:rowOff>
    </xdr:from>
    <xdr:ext cx="3913764" cy="59323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694A062-315A-420F-86A2-7C25E7FC544B}"/>
            </a:ext>
          </a:extLst>
        </xdr:cNvPr>
        <xdr:cNvSpPr/>
      </xdr:nvSpPr>
      <xdr:spPr>
        <a:xfrm>
          <a:off x="1129442" y="258300"/>
          <a:ext cx="3913764" cy="59323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3200" b="1" cap="none" spc="0">
              <a:ln w="0"/>
              <a:gradFill>
                <a:gsLst>
                  <a:gs pos="0">
                    <a:srgbClr val="92ED5D"/>
                  </a:gs>
                  <a:gs pos="57000">
                    <a:srgbClr val="138EEA"/>
                  </a:gs>
                </a:gsLst>
                <a:lin ang="18900000" scaled="0"/>
              </a:gra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Project Resource</a:t>
          </a:r>
          <a:r>
            <a:rPr lang="en-US" sz="3200" b="1" cap="none" spc="0" baseline="0">
              <a:ln w="0"/>
              <a:gradFill>
                <a:gsLst>
                  <a:gs pos="0">
                    <a:srgbClr val="92ED5D"/>
                  </a:gs>
                  <a:gs pos="57000">
                    <a:srgbClr val="138EEA"/>
                  </a:gs>
                </a:gsLst>
                <a:lin ang="18900000" scaled="0"/>
              </a:gra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Plan</a:t>
          </a:r>
          <a:endParaRPr lang="en-US" sz="3200" b="1" cap="none" spc="0">
            <a:ln w="0"/>
            <a:gradFill>
              <a:gsLst>
                <a:gs pos="0">
                  <a:srgbClr val="92ED5D"/>
                </a:gs>
                <a:gs pos="57000">
                  <a:srgbClr val="138EEA"/>
                </a:gs>
              </a:gsLst>
              <a:lin ang="18900000" scaled="0"/>
            </a:gra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12</xdr:col>
      <xdr:colOff>2053006</xdr:colOff>
      <xdr:row>0</xdr:row>
      <xdr:rowOff>15669</xdr:rowOff>
    </xdr:from>
    <xdr:to>
      <xdr:col>12</xdr:col>
      <xdr:colOff>3296088</xdr:colOff>
      <xdr:row>6</xdr:row>
      <xdr:rowOff>75963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086D16-E640-4F32-95EB-40E7816AE6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4947"/>
        <a:stretch>
          <a:fillRect/>
        </a:stretch>
      </xdr:blipFill>
      <xdr:spPr>
        <a:xfrm>
          <a:off x="11799518" y="15669"/>
          <a:ext cx="1240571" cy="12121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295275</xdr:rowOff>
    </xdr:from>
    <xdr:to>
      <xdr:col>14</xdr:col>
      <xdr:colOff>9525</xdr:colOff>
      <xdr:row>36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91D966-C8B1-4680-A856-C475BE868927}"/>
            </a:ext>
            <a:ext uri="{147F2762-F138-4A5C-976F-8EAC2B608ADB}">
              <a16:predDERef xmlns:a16="http://schemas.microsoft.com/office/drawing/2014/main" pred="{2B79A515-654D-0AF2-4C1A-D923A7F1E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86075"/>
          <a:ext cx="8686800" cy="400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114300</xdr:rowOff>
    </xdr:from>
    <xdr:to>
      <xdr:col>2</xdr:col>
      <xdr:colOff>3286125</xdr:colOff>
      <xdr:row>36</xdr:row>
      <xdr:rowOff>142875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3417134B-B10A-8297-5852-5424CD257115}"/>
            </a:ext>
            <a:ext uri="{147F2762-F138-4A5C-976F-8EAC2B608ADB}">
              <a16:predDERef xmlns:a16="http://schemas.microsoft.com/office/drawing/2014/main" pred="{35D37236-D884-4404-3EFD-273AEB83F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00550"/>
          <a:ext cx="7886700" cy="44100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0</xdr:rowOff>
    </xdr:from>
    <xdr:to>
      <xdr:col>6</xdr:col>
      <xdr:colOff>47625</xdr:colOff>
      <xdr:row>61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8707E8-A06D-4746-93AF-9F956B44485C}"/>
            </a:ext>
            <a:ext uri="{147F2762-F138-4A5C-976F-8EAC2B608ADB}">
              <a16:predDERef xmlns:a16="http://schemas.microsoft.com/office/drawing/2014/main" pred="{53243179-DDAC-45D7-B2DD-C8E2AEDE7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48575"/>
          <a:ext cx="9458325" cy="4524375"/>
        </a:xfrm>
        <a:prstGeom prst="rect">
          <a:avLst/>
        </a:prstGeom>
      </xdr:spPr>
    </xdr:pic>
    <xdr:clientData/>
  </xdr:twoCellAnchor>
  <xdr:twoCellAnchor editAs="oneCell">
    <xdr:from>
      <xdr:col>6</xdr:col>
      <xdr:colOff>361950</xdr:colOff>
      <xdr:row>38</xdr:row>
      <xdr:rowOff>95250</xdr:rowOff>
    </xdr:from>
    <xdr:to>
      <xdr:col>31</xdr:col>
      <xdr:colOff>238125</xdr:colOff>
      <xdr:row>53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05D14A-3E6C-4828-805F-B7761C7026FF}"/>
            </a:ext>
            <a:ext uri="{147F2762-F138-4A5C-976F-8EAC2B608ADB}">
              <a16:predDERef xmlns:a16="http://schemas.microsoft.com/office/drawing/2014/main" pred="{398707E8-A06D-4746-93AF-9F956B444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72650" y="7743825"/>
          <a:ext cx="9401175" cy="2905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58</xdr:row>
      <xdr:rowOff>0</xdr:rowOff>
    </xdr:from>
    <xdr:to>
      <xdr:col>7</xdr:col>
      <xdr:colOff>849741</xdr:colOff>
      <xdr:row>80</xdr:row>
      <xdr:rowOff>123168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220416-FD35-446E-867B-783FEAE7CAFE}"/>
            </a:ext>
            <a:ext uri="{147F2762-F138-4A5C-976F-8EAC2B608ADB}">
              <a16:predDERef xmlns:a16="http://schemas.microsoft.com/office/drawing/2014/main" pred="{53243179-DDAC-45D7-B2DD-C8E2AEDE7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15175"/>
          <a:ext cx="9458325" cy="4524375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68</xdr:row>
      <xdr:rowOff>152400</xdr:rowOff>
    </xdr:from>
    <xdr:to>
      <xdr:col>36</xdr:col>
      <xdr:colOff>76199</xdr:colOff>
      <xdr:row>83</xdr:row>
      <xdr:rowOff>47625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59E0A73-5D55-7B1E-A38E-C5DDC5AE40B0}"/>
            </a:ext>
            <a:ext uri="{147F2762-F138-4A5C-976F-8EAC2B608ADB}">
              <a16:predDERef xmlns:a16="http://schemas.microsoft.com/office/drawing/2014/main" pred="{A6220416-FD35-446E-867B-783FEAE7C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72725" y="9744075"/>
          <a:ext cx="9401175" cy="29051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80</xdr:row>
      <xdr:rowOff>66675</xdr:rowOff>
    </xdr:from>
    <xdr:to>
      <xdr:col>7</xdr:col>
      <xdr:colOff>676351</xdr:colOff>
      <xdr:row>104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25A6E2-75B1-C31A-0E23-2504B7237D04}"/>
            </a:ext>
            <a:ext uri="{147F2762-F138-4A5C-976F-8EAC2B608ADB}">
              <a16:predDERef xmlns:a16="http://schemas.microsoft.com/office/drawing/2014/main" pred="{059E0A73-5D55-7B1E-A38E-C5DDC5AE4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925" y="11715750"/>
          <a:ext cx="9182100" cy="4762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6</xdr:col>
      <xdr:colOff>47625</xdr:colOff>
      <xdr:row>54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E7691C-E85E-4F3E-86CC-B475D508C621}"/>
            </a:ext>
            <a:ext uri="{147F2762-F138-4A5C-976F-8EAC2B608ADB}">
              <a16:predDERef xmlns:a16="http://schemas.microsoft.com/office/drawing/2014/main" pred="{53243179-DDAC-45D7-B2DD-C8E2AEDE7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86525"/>
          <a:ext cx="9458325" cy="4314825"/>
        </a:xfrm>
        <a:prstGeom prst="rect">
          <a:avLst/>
        </a:prstGeom>
      </xdr:spPr>
    </xdr:pic>
    <xdr:clientData/>
  </xdr:twoCellAnchor>
  <xdr:twoCellAnchor editAs="oneCell">
    <xdr:from>
      <xdr:col>8</xdr:col>
      <xdr:colOff>200025</xdr:colOff>
      <xdr:row>43</xdr:row>
      <xdr:rowOff>152400</xdr:rowOff>
    </xdr:from>
    <xdr:to>
      <xdr:col>33</xdr:col>
      <xdr:colOff>76200</xdr:colOff>
      <xdr:row>58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71D69A-BD7B-4B77-A074-13EED1F0AA07}"/>
            </a:ext>
            <a:ext uri="{147F2762-F138-4A5C-976F-8EAC2B608ADB}">
              <a16:predDERef xmlns:a16="http://schemas.microsoft.com/office/drawing/2014/main" pred="{DCE7691C-E85E-4F3E-86CC-B475D508C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72725" y="8677275"/>
          <a:ext cx="9401175" cy="27527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55</xdr:row>
      <xdr:rowOff>66675</xdr:rowOff>
    </xdr:from>
    <xdr:to>
      <xdr:col>5</xdr:col>
      <xdr:colOff>314325</xdr:colOff>
      <xdr:row>79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B10FF2-342F-4042-825B-2625D98CADA5}"/>
            </a:ext>
            <a:ext uri="{147F2762-F138-4A5C-976F-8EAC2B608ADB}">
              <a16:predDERef xmlns:a16="http://schemas.microsoft.com/office/drawing/2014/main" pred="{2771D69A-BD7B-4B77-A074-13EED1F0A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925" y="10763250"/>
          <a:ext cx="9182100" cy="45243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59</xdr:row>
      <xdr:rowOff>0</xdr:rowOff>
    </xdr:from>
    <xdr:to>
      <xdr:col>6</xdr:col>
      <xdr:colOff>786241</xdr:colOff>
      <xdr:row>81</xdr:row>
      <xdr:rowOff>129518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8F1418-62A8-47D3-BD08-0A8FEA7FE631}"/>
            </a:ext>
            <a:ext uri="{147F2762-F138-4A5C-976F-8EAC2B608ADB}">
              <a16:predDERef xmlns:a16="http://schemas.microsoft.com/office/drawing/2014/main" pred="{53243179-DDAC-45D7-B2DD-C8E2AEDE7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39625"/>
          <a:ext cx="9482566" cy="4320518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69</xdr:row>
      <xdr:rowOff>152400</xdr:rowOff>
    </xdr:from>
    <xdr:to>
      <xdr:col>36</xdr:col>
      <xdr:colOff>76199</xdr:colOff>
      <xdr:row>84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D696A2-BBC5-4C41-AA39-ED1D87CEF15E}"/>
            </a:ext>
            <a:ext uri="{147F2762-F138-4A5C-976F-8EAC2B608ADB}">
              <a16:predDERef xmlns:a16="http://schemas.microsoft.com/office/drawing/2014/main" pred="{C18F1418-62A8-47D3-BD08-0A8FEA7FE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82475" y="14297025"/>
          <a:ext cx="9401174" cy="27527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81</xdr:row>
      <xdr:rowOff>66675</xdr:rowOff>
    </xdr:from>
    <xdr:to>
      <xdr:col>6</xdr:col>
      <xdr:colOff>619201</xdr:colOff>
      <xdr:row>105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F9872E-B79E-4B74-A99B-6198CB35FD43}"/>
            </a:ext>
            <a:ext uri="{147F2762-F138-4A5C-976F-8EAC2B608ADB}">
              <a16:predDERef xmlns:a16="http://schemas.microsoft.com/office/drawing/2014/main" pred="{4AD696A2-BBC5-4C41-AA39-ED1D87CEF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925" y="16497300"/>
          <a:ext cx="9153601" cy="45243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428C07-C1BE-4366-87BA-F76B106015D0}" name="Table13" displayName="Table13" ref="A6:E31" totalsRowShown="0" headerRowDxfId="54" dataDxfId="53" headerRowBorderDxfId="51" tableBorderDxfId="52" totalsRowBorderDxfId="50">
  <autoFilter ref="A6:E31" xr:uid="{45133631-5382-473E-8A4B-EBA025E9402E}"/>
  <tableColumns count="5">
    <tableColumn id="1" xr3:uid="{A3D63011-0EA3-4C7D-A7CB-0D485D05A5C0}" name="Main Activity" dataDxfId="49"/>
    <tableColumn id="2" xr3:uid="{7A10CD8E-F10B-49E5-9817-C38F1D63243E}" name="Sub Activity" dataDxfId="48"/>
    <tableColumn id="3" xr3:uid="{3D2108A3-8F98-4177-9143-F04AC8260F66}" name="Duration " dataDxfId="47"/>
    <tableColumn id="4" xr3:uid="{31A19D90-185C-4808-8ECB-3CBDAD71001B}" name="Role" dataDxfId="46"/>
    <tableColumn id="6" xr3:uid="{537A3BDC-6704-4BA5-A846-7F3D3DB62BE5}" name="% Progress" dataDxfId="4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133631-5382-473E-8A4B-EBA025E9402E}" name="Table1" displayName="Table1" ref="A6:H25" totalsRowShown="0" headerRowDxfId="42" dataDxfId="41" headerRowBorderDxfId="39" tableBorderDxfId="40" totalsRowBorderDxfId="38">
  <autoFilter ref="A6:H25" xr:uid="{45133631-5382-473E-8A4B-EBA025E9402E}"/>
  <tableColumns count="8">
    <tableColumn id="1" xr3:uid="{AB29E3F0-4343-4707-9B48-F3E8215D93EB}" name="Main Activity" dataDxfId="37"/>
    <tableColumn id="2" xr3:uid="{37DCB01A-DF31-44B5-AF94-8C0B0CE902B7}" name="Sub Activity" dataDxfId="36"/>
    <tableColumn id="7" xr3:uid="{EC2E240C-2F76-47B0-803A-CBB92C26D06E}" name="Start" dataDxfId="35"/>
    <tableColumn id="5" xr3:uid="{BA20BE5C-B7FF-4F41-9755-7F797A45D6E4}" name="End 1 (for calculation)" dataDxfId="34"/>
    <tableColumn id="9" xr3:uid="{C514A3AB-A2E1-4943-AD69-973A340AA259}" name="End" dataDxfId="33">
      <calculatedColumnFormula>Table1[[#This Row],[End 1 (for calculation)]]+$E$5</calculatedColumnFormula>
    </tableColumn>
    <tableColumn id="3" xr3:uid="{40972D7A-DE13-4F9F-8D4D-A4CEB53CD8D5}" name="Duration " dataDxfId="32"/>
    <tableColumn id="6" xr3:uid="{3227F9FF-4AAB-4B1F-9A75-8B9D2DA99E73}" name="% Progress" dataDxfId="31"/>
    <tableColumn id="4" xr3:uid="{A6C7A392-F8F0-4AF3-819E-AA7C19E8C1F6}" name="Role" dataDxfId="3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5D0CDD-6B40-4AD8-A9C8-16001F60907A}" name="Table14" displayName="Table14" ref="A6:E26" totalsRowShown="0" headerRowDxfId="27" dataDxfId="26" headerRowBorderDxfId="24" tableBorderDxfId="25" totalsRowBorderDxfId="23">
  <autoFilter ref="A6:E26" xr:uid="{45133631-5382-473E-8A4B-EBA025E9402E}"/>
  <tableColumns count="5">
    <tableColumn id="1" xr3:uid="{F8788331-06C1-4DAF-8146-7114F364A6AF}" name="Main Activity" dataDxfId="22"/>
    <tableColumn id="2" xr3:uid="{C04BAA60-F01D-4874-BBAD-60A977BB4928}" name="Sub Activity" dataDxfId="21"/>
    <tableColumn id="3" xr3:uid="{CD343A8B-034C-4387-B23C-472313A1B914}" name="Duration " dataDxfId="20"/>
    <tableColumn id="4" xr3:uid="{D9E6D799-E0EC-4202-B148-F3CCD4076E17}" name="Role" dataDxfId="19"/>
    <tableColumn id="6" xr3:uid="{81A23434-651C-4DF6-B039-4D089B8062FF}" name="% Progress" dataDxfId="1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4BA76F-2D3F-4CFB-87ED-4E67AC63E35E}" name="Table15" displayName="Table15" ref="A6:H26" totalsRowShown="0" headerRowDxfId="15" dataDxfId="14" headerRowBorderDxfId="12" tableBorderDxfId="13" totalsRowBorderDxfId="11">
  <autoFilter ref="A6:H26" xr:uid="{45133631-5382-473E-8A4B-EBA025E9402E}"/>
  <tableColumns count="8">
    <tableColumn id="1" xr3:uid="{54962C5B-79D9-448E-9720-37AA05C747A3}" name="Main Activity" dataDxfId="10"/>
    <tableColumn id="2" xr3:uid="{65314C7F-9651-4BD0-AEE8-D67545634608}" name="Sub Activity" dataDxfId="9"/>
    <tableColumn id="7" xr3:uid="{F530904D-2CF1-4F50-8871-7AAB2B80AA24}" name="Start" dataDxfId="8"/>
    <tableColumn id="5" xr3:uid="{F83A6C85-FC84-4DC7-96C6-D31A41618726}" name="End 1 (for calculation)" dataDxfId="7"/>
    <tableColumn id="9" xr3:uid="{2569F11A-F2A3-4F16-919E-E4731C9C477B}" name="End" dataDxfId="6">
      <calculatedColumnFormula>Table15[[#This Row],[End 1 (for calculation)]]+$E$5</calculatedColumnFormula>
    </tableColumn>
    <tableColumn id="3" xr3:uid="{EAA53955-349F-48F2-B05E-FAAB56C29751}" name="Duration " dataDxfId="5"/>
    <tableColumn id="6" xr3:uid="{99C0561B-D483-47B8-9B74-51610839E37C}" name="% Progress" dataDxfId="4"/>
    <tableColumn id="4" xr3:uid="{1BE7C1B7-5A25-4535-8B1D-B0C05EFCBC80}" name="Role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hyperlink" Target="../../../../../../../../../:p:/r/teams/DigitalX/_layouts/15/Doc.aspx?sourcedoc=%7BC385CB4C-E841-46AE-9F75-75C8F582043F%7D&amp;file=GATE3-SOR%20template.pptx&amp;action=edit&amp;mobileredirect=true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5.xml"/><Relationship Id="rId1" Type="http://schemas.openxmlformats.org/officeDocument/2006/relationships/hyperlink" Target="../../../../../../../../../:p:/r/teams/DigitalX/_layouts/15/Doc.aspx?sourcedoc=%7BC385CB4C-E841-46AE-9F75-75C8F582043F%7D&amp;file=GATE3-SOR%20template.pptx&amp;action=edit&amp;mobileredirect=true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6.xml"/><Relationship Id="rId1" Type="http://schemas.openxmlformats.org/officeDocument/2006/relationships/hyperlink" Target="../../../../../../../../../:p:/r/teams/DigitalX/_layouts/15/Doc.aspx?sourcedoc=%7BC385CB4C-E841-46AE-9F75-75C8F582043F%7D&amp;file=GATE3-SOR%20template.pptx&amp;action=edit&amp;mobileredirect=true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7.xml"/><Relationship Id="rId1" Type="http://schemas.openxmlformats.org/officeDocument/2006/relationships/hyperlink" Target="../../../../../../../../../:p:/r/teams/DigitalX/_layouts/15/Doc.aspx?sourcedoc=%7BC385CB4C-E841-46AE-9F75-75C8F582043F%7D&amp;file=GATE3-SOR%20template.pptx&amp;action=edit&amp;mobileredir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7C9A8-C2B0-424D-B1DE-3A14F181C0C0}">
  <sheetPr>
    <pageSetUpPr fitToPage="1"/>
  </sheetPr>
  <dimension ref="D1:M31"/>
  <sheetViews>
    <sheetView showGridLines="0" topLeftCell="I1" zoomScale="70" zoomScaleNormal="100" workbookViewId="0">
      <selection activeCell="M11" sqref="M11"/>
    </sheetView>
  </sheetViews>
  <sheetFormatPr defaultColWidth="9.140625" defaultRowHeight="15"/>
  <cols>
    <col min="1" max="2" width="9.140625" style="10"/>
    <col min="3" max="3" width="3.85546875" style="10" customWidth="1"/>
    <col min="4" max="4" width="5.7109375" style="11" customWidth="1"/>
    <col min="5" max="5" width="21.42578125" style="10" customWidth="1"/>
    <col min="6" max="7" width="15.42578125" style="11" customWidth="1"/>
    <col min="8" max="8" width="16.7109375" style="11" customWidth="1"/>
    <col min="9" max="9" width="26.28515625" style="10" customWidth="1"/>
    <col min="10" max="12" width="12.7109375" style="11" customWidth="1"/>
    <col min="13" max="13" width="64" style="10" customWidth="1"/>
    <col min="14" max="17" width="49.42578125" style="10" customWidth="1"/>
    <col min="18" max="16384" width="9.140625" style="10"/>
  </cols>
  <sheetData>
    <row r="1" spans="4:13" s="5" customFormat="1"/>
    <row r="2" spans="4:13" s="5" customFormat="1"/>
    <row r="3" spans="4:13" s="5" customFormat="1"/>
    <row r="4" spans="4:13" s="5" customFormat="1"/>
    <row r="5" spans="4:13" s="5" customFormat="1"/>
    <row r="6" spans="4:13" s="5" customFormat="1"/>
    <row r="7" spans="4:13" s="5" customFormat="1"/>
    <row r="8" spans="4:13" s="5" customFormat="1" ht="18.95">
      <c r="D8" s="13" t="s">
        <v>0</v>
      </c>
    </row>
    <row r="9" spans="4:13" s="5" customFormat="1" ht="5.0999999999999996" customHeight="1"/>
    <row r="10" spans="4:13" s="5" customFormat="1">
      <c r="D10" s="6" t="s">
        <v>1</v>
      </c>
      <c r="F10" s="300" t="s">
        <v>2</v>
      </c>
      <c r="G10" s="300"/>
      <c r="H10" s="300"/>
      <c r="I10" s="12"/>
      <c r="J10" s="6" t="s">
        <v>3</v>
      </c>
      <c r="M10" s="18" t="s">
        <v>4</v>
      </c>
    </row>
    <row r="11" spans="4:13" s="5" customFormat="1" ht="3.95" customHeight="1">
      <c r="D11" s="6"/>
    </row>
    <row r="12" spans="4:13" s="5" customFormat="1">
      <c r="D12" s="6" t="s">
        <v>5</v>
      </c>
      <c r="F12" s="301" t="s">
        <v>6</v>
      </c>
      <c r="G12" s="301"/>
      <c r="H12" s="301"/>
      <c r="J12" s="6" t="s">
        <v>7</v>
      </c>
      <c r="M12" s="18"/>
    </row>
    <row r="13" spans="4:13" s="5" customFormat="1" ht="3.95" customHeight="1">
      <c r="D13" s="6"/>
      <c r="J13" s="6"/>
    </row>
    <row r="14" spans="4:13" s="5" customFormat="1">
      <c r="D14" s="6" t="s">
        <v>8</v>
      </c>
      <c r="F14" s="302">
        <v>46027</v>
      </c>
      <c r="G14" s="303"/>
      <c r="H14" s="304"/>
      <c r="J14" s="6" t="s">
        <v>9</v>
      </c>
      <c r="M14" s="18"/>
    </row>
    <row r="15" spans="4:13" s="5" customFormat="1" ht="3.95" customHeight="1">
      <c r="D15" s="6"/>
      <c r="F15" s="7"/>
      <c r="G15" s="7"/>
      <c r="H15" s="7"/>
      <c r="J15" s="6"/>
    </row>
    <row r="16" spans="4:13" s="5" customFormat="1">
      <c r="D16" s="6" t="s">
        <v>10</v>
      </c>
      <c r="F16" s="302">
        <v>46386</v>
      </c>
      <c r="G16" s="303"/>
      <c r="H16" s="304"/>
      <c r="J16" s="6" t="s">
        <v>11</v>
      </c>
      <c r="M16" s="18" t="s">
        <v>12</v>
      </c>
    </row>
    <row r="17" spans="4:13" s="5" customFormat="1"/>
    <row r="18" spans="4:13" s="5" customFormat="1" ht="18.95">
      <c r="D18" s="13" t="s">
        <v>13</v>
      </c>
    </row>
    <row r="19" spans="4:13" s="5" customFormat="1" ht="5.0999999999999996" customHeight="1"/>
    <row r="20" spans="4:13" s="9" customFormat="1" ht="30" customHeight="1">
      <c r="D20" s="4" t="s">
        <v>14</v>
      </c>
      <c r="E20" s="8" t="s">
        <v>15</v>
      </c>
      <c r="F20" s="4" t="s">
        <v>16</v>
      </c>
      <c r="G20" s="21" t="s">
        <v>17</v>
      </c>
      <c r="H20" s="4" t="s">
        <v>18</v>
      </c>
      <c r="I20" s="4" t="s">
        <v>19</v>
      </c>
      <c r="J20" s="4" t="s">
        <v>20</v>
      </c>
      <c r="K20" s="4" t="s">
        <v>21</v>
      </c>
      <c r="L20" s="20" t="s">
        <v>22</v>
      </c>
      <c r="M20" s="8" t="s">
        <v>23</v>
      </c>
    </row>
    <row r="21" spans="4:13" ht="20.100000000000001" customHeight="1">
      <c r="D21" s="14"/>
      <c r="E21" s="15"/>
      <c r="F21" s="14"/>
      <c r="G21" s="14"/>
      <c r="H21" s="14"/>
      <c r="I21" s="15"/>
      <c r="J21" s="16"/>
      <c r="K21" s="16"/>
      <c r="L21" s="17"/>
      <c r="M21" s="15"/>
    </row>
    <row r="22" spans="4:13" ht="20.100000000000001" customHeight="1">
      <c r="D22" s="14"/>
      <c r="E22" s="15"/>
      <c r="F22" s="14"/>
      <c r="G22" s="14"/>
      <c r="H22" s="14"/>
      <c r="I22" s="15"/>
      <c r="J22" s="16"/>
      <c r="K22" s="16"/>
      <c r="L22" s="17"/>
      <c r="M22" s="15"/>
    </row>
    <row r="23" spans="4:13" ht="20.100000000000001" customHeight="1">
      <c r="D23" s="14"/>
      <c r="E23" s="15"/>
      <c r="F23" s="14"/>
      <c r="G23" s="14"/>
      <c r="H23" s="14"/>
      <c r="I23" s="15"/>
      <c r="J23" s="16"/>
      <c r="K23" s="16"/>
      <c r="L23" s="17"/>
      <c r="M23" s="15"/>
    </row>
    <row r="24" spans="4:13" ht="20.100000000000001" customHeight="1">
      <c r="D24" s="14"/>
      <c r="E24" s="15"/>
      <c r="F24" s="14"/>
      <c r="G24" s="14"/>
      <c r="H24" s="14"/>
      <c r="I24" s="15"/>
      <c r="J24" s="16"/>
      <c r="K24" s="16"/>
      <c r="L24" s="17"/>
      <c r="M24" s="15"/>
    </row>
    <row r="25" spans="4:13" ht="20.100000000000001" customHeight="1">
      <c r="D25" s="14"/>
      <c r="E25" s="15"/>
      <c r="F25" s="14"/>
      <c r="G25" s="14"/>
      <c r="H25" s="14"/>
      <c r="I25" s="15"/>
      <c r="J25" s="16"/>
      <c r="K25" s="16"/>
      <c r="L25" s="17"/>
      <c r="M25" s="15"/>
    </row>
    <row r="26" spans="4:13" ht="20.100000000000001" customHeight="1">
      <c r="D26" s="14"/>
      <c r="E26" s="15"/>
      <c r="F26" s="14"/>
      <c r="G26" s="14"/>
      <c r="H26" s="14"/>
      <c r="I26" s="15"/>
      <c r="J26" s="16"/>
      <c r="K26" s="16"/>
      <c r="L26" s="17"/>
      <c r="M26" s="15"/>
    </row>
    <row r="27" spans="4:13" ht="20.100000000000001" customHeight="1">
      <c r="D27" s="14"/>
      <c r="E27" s="15"/>
      <c r="F27" s="14"/>
      <c r="G27" s="14"/>
      <c r="H27" s="14"/>
      <c r="I27" s="15"/>
      <c r="J27" s="16"/>
      <c r="K27" s="16"/>
      <c r="L27" s="17"/>
      <c r="M27" s="15"/>
    </row>
    <row r="28" spans="4:13" ht="20.100000000000001" customHeight="1">
      <c r="D28" s="14"/>
      <c r="E28" s="15"/>
      <c r="F28" s="14"/>
      <c r="G28" s="14"/>
      <c r="H28" s="14"/>
      <c r="I28" s="15"/>
      <c r="J28" s="16"/>
      <c r="K28" s="16"/>
      <c r="L28" s="17"/>
      <c r="M28" s="15"/>
    </row>
    <row r="29" spans="4:13" ht="20.100000000000001" customHeight="1">
      <c r="D29" s="14"/>
      <c r="E29" s="15"/>
      <c r="F29" s="14"/>
      <c r="G29" s="14"/>
      <c r="H29" s="14"/>
      <c r="I29" s="15"/>
      <c r="J29" s="16"/>
      <c r="K29" s="16"/>
      <c r="L29" s="17"/>
      <c r="M29" s="15"/>
    </row>
    <row r="30" spans="4:13" ht="20.100000000000001" customHeight="1">
      <c r="D30" s="14"/>
      <c r="E30" s="15"/>
      <c r="F30" s="14"/>
      <c r="G30" s="14"/>
      <c r="H30" s="14"/>
      <c r="I30" s="15"/>
      <c r="J30" s="16"/>
      <c r="K30" s="16"/>
      <c r="L30" s="17"/>
      <c r="M30" s="15"/>
    </row>
    <row r="31" spans="4:13" ht="20.100000000000001" customHeight="1">
      <c r="D31" s="14"/>
      <c r="E31" s="15"/>
      <c r="F31" s="14"/>
      <c r="G31" s="14"/>
      <c r="H31" s="14"/>
      <c r="I31" s="15"/>
      <c r="J31" s="16"/>
      <c r="K31" s="16"/>
      <c r="L31" s="17"/>
      <c r="M31" s="15"/>
    </row>
  </sheetData>
  <mergeCells count="4">
    <mergeCell ref="F10:H10"/>
    <mergeCell ref="F12:H12"/>
    <mergeCell ref="F14:H14"/>
    <mergeCell ref="F16:H16"/>
  </mergeCells>
  <dataValidations count="1">
    <dataValidation allowBlank="1" showInputMessage="1" showErrorMessage="1" sqref="G21:G31" xr:uid="{6AF3F070-1CE3-44E9-A30D-F89710ED8431}"/>
  </dataValidations>
  <pageMargins left="0.7" right="0.7" top="0.75" bottom="0.75" header="0.3" footer="0.3"/>
  <pageSetup scale="36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2573238-59F9-4DB8-B118-DF5420CAFA35}">
          <x14:formula1>
            <xm:f>'Maintain List'!$B$4:$B$21</xm:f>
          </x14:formula1>
          <xm:sqref>N21</xm:sqref>
        </x14:dataValidation>
        <x14:dataValidation type="list" allowBlank="1" showInputMessage="1" showErrorMessage="1" xr:uid="{A2D7FAB7-054F-4DFC-AD66-A9978A77EDDA}">
          <x14:formula1>
            <xm:f>'Maintain List'!$B$4:$B$22</xm:f>
          </x14:formula1>
          <xm:sqref>E21:E31</xm:sqref>
        </x14:dataValidation>
        <x14:dataValidation type="list" allowBlank="1" showInputMessage="1" showErrorMessage="1" xr:uid="{D3639D59-248F-4115-B995-7E6D5D24D18D}">
          <x14:formula1>
            <xm:f>'Maintain List'!$D$4:$D$7</xm:f>
          </x14:formula1>
          <xm:sqref>F21:F31</xm:sqref>
        </x14:dataValidation>
        <x14:dataValidation type="list" allowBlank="1" showInputMessage="1" showErrorMessage="1" xr:uid="{90C75D53-996D-49CA-AA4E-C1D7683A0D55}">
          <x14:formula1>
            <xm:f>'Maintain List'!$F$4:$F$6</xm:f>
          </x14:formula1>
          <xm:sqref>H21:H31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153F6-1AD6-422E-B454-4E3DF2242F7C}">
  <dimension ref="B3:F22"/>
  <sheetViews>
    <sheetView showGridLines="0" topLeftCell="A26" zoomScale="118" workbookViewId="0">
      <selection activeCell="D24" sqref="D24"/>
    </sheetView>
  </sheetViews>
  <sheetFormatPr defaultColWidth="8.85546875" defaultRowHeight="15"/>
  <cols>
    <col min="2" max="2" width="29.140625" bestFit="1" customWidth="1"/>
    <col min="4" max="4" width="18.7109375" customWidth="1"/>
    <col min="6" max="6" width="13.7109375" customWidth="1"/>
  </cols>
  <sheetData>
    <row r="3" spans="2:6">
      <c r="B3" s="2" t="s">
        <v>15</v>
      </c>
      <c r="D3" s="3" t="s">
        <v>16</v>
      </c>
      <c r="F3" s="3" t="s">
        <v>18</v>
      </c>
    </row>
    <row r="4" spans="2:6">
      <c r="B4" s="1" t="s">
        <v>24</v>
      </c>
      <c r="D4" s="1" t="s">
        <v>25</v>
      </c>
      <c r="F4" s="1" t="s">
        <v>26</v>
      </c>
    </row>
    <row r="5" spans="2:6">
      <c r="B5" s="1" t="s">
        <v>27</v>
      </c>
      <c r="D5" s="1" t="s">
        <v>28</v>
      </c>
      <c r="F5" s="1" t="s">
        <v>29</v>
      </c>
    </row>
    <row r="6" spans="2:6">
      <c r="B6" s="1" t="s">
        <v>30</v>
      </c>
      <c r="D6" s="1" t="s">
        <v>31</v>
      </c>
      <c r="F6" s="1" t="s">
        <v>32</v>
      </c>
    </row>
    <row r="7" spans="2:6">
      <c r="B7" s="1" t="s">
        <v>33</v>
      </c>
      <c r="D7" s="1" t="s">
        <v>34</v>
      </c>
    </row>
    <row r="8" spans="2:6">
      <c r="B8" s="1" t="s">
        <v>35</v>
      </c>
    </row>
    <row r="9" spans="2:6">
      <c r="B9" s="1" t="s">
        <v>36</v>
      </c>
    </row>
    <row r="10" spans="2:6">
      <c r="B10" s="1" t="s">
        <v>37</v>
      </c>
    </row>
    <row r="11" spans="2:6">
      <c r="B11" s="1" t="s">
        <v>38</v>
      </c>
    </row>
    <row r="12" spans="2:6">
      <c r="B12" s="1" t="s">
        <v>39</v>
      </c>
    </row>
    <row r="13" spans="2:6">
      <c r="B13" s="1" t="s">
        <v>40</v>
      </c>
    </row>
    <row r="14" spans="2:6">
      <c r="B14" s="1" t="s">
        <v>41</v>
      </c>
    </row>
    <row r="15" spans="2:6">
      <c r="B15" s="1" t="s">
        <v>42</v>
      </c>
    </row>
    <row r="16" spans="2:6">
      <c r="B16" s="1" t="s">
        <v>43</v>
      </c>
    </row>
    <row r="17" spans="2:2">
      <c r="B17" s="1" t="s">
        <v>44</v>
      </c>
    </row>
    <row r="18" spans="2:2">
      <c r="B18" s="1" t="s">
        <v>45</v>
      </c>
    </row>
    <row r="19" spans="2:2">
      <c r="B19" s="1" t="s">
        <v>46</v>
      </c>
    </row>
    <row r="20" spans="2:2">
      <c r="B20" s="1" t="s">
        <v>47</v>
      </c>
    </row>
    <row r="21" spans="2:2">
      <c r="B21" s="1" t="s">
        <v>48</v>
      </c>
    </row>
    <row r="22" spans="2:2">
      <c r="B22" s="19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808B6-9C20-4668-B5A6-DA671987D429}">
  <sheetPr>
    <tabColor rgb="FF00B050"/>
  </sheetPr>
  <dimension ref="A1:AE112"/>
  <sheetViews>
    <sheetView showGridLines="0" topLeftCell="C1" workbookViewId="0"/>
  </sheetViews>
  <sheetFormatPr defaultColWidth="8.85546875" defaultRowHeight="15"/>
  <cols>
    <col min="1" max="1" width="0" hidden="1" customWidth="1"/>
    <col min="2" max="2" width="17" hidden="1" customWidth="1"/>
    <col min="3" max="3" width="30.7109375" customWidth="1"/>
    <col min="4" max="4" width="17.42578125" hidden="1" customWidth="1"/>
    <col min="5" max="5" width="22.42578125" hidden="1" customWidth="1"/>
    <col min="6" max="6" width="21.140625" customWidth="1"/>
    <col min="7" max="7" width="0" hidden="1" customWidth="1"/>
    <col min="8" max="8" width="21.42578125" customWidth="1"/>
    <col min="9" max="9" width="11.140625" customWidth="1"/>
    <col min="10" max="10" width="18.42578125" customWidth="1"/>
    <col min="11" max="11" width="17" hidden="1" customWidth="1"/>
    <col min="12" max="12" width="8.85546875" customWidth="1"/>
  </cols>
  <sheetData>
    <row r="1" spans="1:25" ht="24">
      <c r="A1" s="22"/>
      <c r="B1" s="22"/>
      <c r="C1" s="23" t="s">
        <v>50</v>
      </c>
      <c r="D1" s="23" t="s">
        <v>50</v>
      </c>
      <c r="E1" s="23" t="s">
        <v>50</v>
      </c>
      <c r="F1" s="23" t="s">
        <v>50</v>
      </c>
      <c r="G1" s="23" t="s">
        <v>50</v>
      </c>
      <c r="H1" s="23" t="s">
        <v>50</v>
      </c>
      <c r="I1" s="23" t="s">
        <v>50</v>
      </c>
      <c r="J1" s="23" t="s">
        <v>50</v>
      </c>
      <c r="K1" s="23" t="s">
        <v>50</v>
      </c>
      <c r="L1" s="23" t="s">
        <v>50</v>
      </c>
      <c r="M1" s="23" t="s">
        <v>50</v>
      </c>
      <c r="N1" s="23" t="s">
        <v>50</v>
      </c>
      <c r="O1" s="23" t="s">
        <v>50</v>
      </c>
      <c r="P1" s="23" t="s">
        <v>50</v>
      </c>
      <c r="Q1" s="23" t="s">
        <v>50</v>
      </c>
      <c r="R1" s="23" t="s">
        <v>50</v>
      </c>
      <c r="S1" s="23" t="s">
        <v>50</v>
      </c>
      <c r="T1" s="23" t="s">
        <v>50</v>
      </c>
      <c r="U1" s="23" t="s">
        <v>50</v>
      </c>
      <c r="V1" s="23" t="s">
        <v>50</v>
      </c>
      <c r="W1" s="23" t="s">
        <v>50</v>
      </c>
      <c r="X1" s="24"/>
      <c r="Y1" s="24"/>
    </row>
    <row r="2" spans="1:25" ht="24">
      <c r="A2" s="25"/>
      <c r="B2" s="120" t="s">
        <v>51</v>
      </c>
      <c r="C2" s="43" t="s">
        <v>52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spans="1:25" ht="18.75" customHeight="1">
      <c r="A3" s="24"/>
      <c r="B3" s="26" t="s">
        <v>53</v>
      </c>
      <c r="C3" s="45" t="s">
        <v>54</v>
      </c>
      <c r="D3" s="45" t="s">
        <v>55</v>
      </c>
      <c r="E3" s="45" t="s">
        <v>56</v>
      </c>
      <c r="F3" s="45" t="s">
        <v>57</v>
      </c>
      <c r="G3" s="45" t="s">
        <v>17</v>
      </c>
      <c r="H3" s="45" t="s">
        <v>58</v>
      </c>
      <c r="I3" s="45" t="s">
        <v>59</v>
      </c>
      <c r="J3" s="45" t="s">
        <v>60</v>
      </c>
      <c r="K3" s="45" t="s">
        <v>61</v>
      </c>
      <c r="L3" s="27">
        <v>45683</v>
      </c>
      <c r="M3" s="28">
        <v>45714</v>
      </c>
      <c r="N3" s="28">
        <v>45742</v>
      </c>
      <c r="O3" s="28">
        <v>45773</v>
      </c>
      <c r="P3" s="28">
        <v>45803</v>
      </c>
      <c r="Q3" s="28">
        <v>45834</v>
      </c>
      <c r="R3" s="28">
        <v>45864</v>
      </c>
      <c r="S3" s="28">
        <v>45895</v>
      </c>
      <c r="T3" s="28">
        <v>45926</v>
      </c>
      <c r="U3" s="28">
        <v>45956</v>
      </c>
      <c r="V3" s="28">
        <v>45987</v>
      </c>
      <c r="W3" s="29">
        <v>46017</v>
      </c>
      <c r="X3" s="24"/>
      <c r="Y3" s="24"/>
    </row>
    <row r="4" spans="1:25" ht="17.25" customHeight="1">
      <c r="A4" s="305"/>
      <c r="B4" s="46"/>
      <c r="C4" s="50" t="s">
        <v>62</v>
      </c>
      <c r="D4" s="51"/>
      <c r="E4" s="52"/>
      <c r="F4" s="31" t="s">
        <v>63</v>
      </c>
      <c r="G4" s="30" t="s">
        <v>64</v>
      </c>
      <c r="H4" s="30" t="s">
        <v>4</v>
      </c>
      <c r="I4" s="30" t="s">
        <v>65</v>
      </c>
      <c r="J4" s="35" t="s">
        <v>2</v>
      </c>
      <c r="K4" s="30" t="s">
        <v>66</v>
      </c>
      <c r="L4" s="76"/>
      <c r="M4" s="77">
        <v>0.1</v>
      </c>
      <c r="N4" s="77">
        <v>0.2</v>
      </c>
      <c r="O4" s="77">
        <v>0.2</v>
      </c>
      <c r="P4" s="77">
        <v>0.2</v>
      </c>
      <c r="Q4" s="77">
        <v>0.2</v>
      </c>
      <c r="R4" s="78">
        <v>0.2</v>
      </c>
      <c r="S4" s="78">
        <v>0.2</v>
      </c>
      <c r="T4" s="78">
        <v>0.2</v>
      </c>
      <c r="U4" s="78">
        <v>0.2</v>
      </c>
      <c r="V4" s="78">
        <v>0.2</v>
      </c>
      <c r="W4" s="79">
        <v>0.2</v>
      </c>
      <c r="X4" s="24"/>
      <c r="Y4" s="24"/>
    </row>
    <row r="5" spans="1:25" ht="15.95">
      <c r="A5" s="305"/>
      <c r="B5" s="47"/>
      <c r="C5" s="50" t="s">
        <v>62</v>
      </c>
      <c r="D5" s="51"/>
      <c r="E5" s="52"/>
      <c r="F5" s="31" t="s">
        <v>67</v>
      </c>
      <c r="G5" s="33"/>
      <c r="H5" s="30" t="s">
        <v>68</v>
      </c>
      <c r="I5" s="34" t="s">
        <v>69</v>
      </c>
      <c r="J5" s="35" t="s">
        <v>2</v>
      </c>
      <c r="K5" s="33"/>
      <c r="L5" s="76"/>
      <c r="M5" s="77"/>
      <c r="N5" s="77">
        <v>0.2</v>
      </c>
      <c r="O5" s="77">
        <v>0.2</v>
      </c>
      <c r="P5" s="77"/>
      <c r="Q5" s="77"/>
      <c r="R5" s="78"/>
      <c r="S5" s="78"/>
      <c r="T5" s="78"/>
      <c r="U5" s="78"/>
      <c r="V5" s="78"/>
      <c r="W5" s="79"/>
      <c r="X5" s="24"/>
      <c r="Y5" s="24"/>
    </row>
    <row r="6" spans="1:25" ht="15.95">
      <c r="A6" s="305"/>
      <c r="B6" s="47"/>
      <c r="C6" s="50" t="s">
        <v>62</v>
      </c>
      <c r="D6" s="51"/>
      <c r="E6" s="52"/>
      <c r="F6" s="31" t="s">
        <v>70</v>
      </c>
      <c r="G6" s="33"/>
      <c r="H6" s="30" t="s">
        <v>71</v>
      </c>
      <c r="I6" s="30" t="s">
        <v>72</v>
      </c>
      <c r="J6" s="35" t="s">
        <v>2</v>
      </c>
      <c r="K6" s="33"/>
      <c r="L6" s="76"/>
      <c r="M6" s="77"/>
      <c r="N6" s="77">
        <v>0.7</v>
      </c>
      <c r="O6" s="77">
        <v>0.7</v>
      </c>
      <c r="P6" s="77">
        <v>0.7</v>
      </c>
      <c r="Q6" s="77">
        <v>0.7</v>
      </c>
      <c r="R6" s="77">
        <v>0.5</v>
      </c>
      <c r="S6" s="77">
        <v>0.5</v>
      </c>
      <c r="T6" s="77">
        <v>0.5</v>
      </c>
      <c r="U6" s="77">
        <v>0.5</v>
      </c>
      <c r="V6" s="77">
        <v>0.5</v>
      </c>
      <c r="W6" s="79">
        <v>0.5</v>
      </c>
      <c r="X6" s="24"/>
      <c r="Y6" s="24"/>
    </row>
    <row r="7" spans="1:25" ht="15.95">
      <c r="A7" s="305"/>
      <c r="B7" s="47"/>
      <c r="C7" s="50" t="s">
        <v>62</v>
      </c>
      <c r="D7" s="51"/>
      <c r="E7" s="52"/>
      <c r="F7" s="31" t="s">
        <v>70</v>
      </c>
      <c r="G7" s="33"/>
      <c r="H7" s="30" t="s">
        <v>73</v>
      </c>
      <c r="I7" s="30" t="s">
        <v>74</v>
      </c>
      <c r="J7" s="35" t="s">
        <v>2</v>
      </c>
      <c r="K7" s="33"/>
      <c r="L7" s="76">
        <v>0.1</v>
      </c>
      <c r="M7" s="77">
        <v>0.1</v>
      </c>
      <c r="N7" s="77">
        <v>0.1</v>
      </c>
      <c r="O7" s="77">
        <v>0.1</v>
      </c>
      <c r="P7" s="77">
        <v>0.1</v>
      </c>
      <c r="Q7" s="77">
        <v>0.1</v>
      </c>
      <c r="R7" s="77">
        <v>0.1</v>
      </c>
      <c r="S7" s="77">
        <v>0.1</v>
      </c>
      <c r="T7" s="77">
        <v>0.1</v>
      </c>
      <c r="U7" s="77">
        <v>0.1</v>
      </c>
      <c r="V7" s="77">
        <v>0.1</v>
      </c>
      <c r="W7" s="79">
        <v>0.1</v>
      </c>
      <c r="X7" s="24"/>
      <c r="Y7" s="24"/>
    </row>
    <row r="8" spans="1:25" ht="15.95">
      <c r="A8" s="305"/>
      <c r="B8" s="47"/>
      <c r="C8" s="50" t="s">
        <v>62</v>
      </c>
      <c r="D8" s="51"/>
      <c r="E8" s="51"/>
      <c r="F8" s="31" t="s">
        <v>75</v>
      </c>
      <c r="G8" s="33"/>
      <c r="H8" s="30" t="s">
        <v>76</v>
      </c>
      <c r="I8" s="30" t="s">
        <v>77</v>
      </c>
      <c r="J8" s="35" t="s">
        <v>2</v>
      </c>
      <c r="K8" s="33"/>
      <c r="L8" s="76"/>
      <c r="M8" s="77">
        <v>0.2</v>
      </c>
      <c r="N8" s="77">
        <v>0.2</v>
      </c>
      <c r="O8" s="77">
        <v>0.2</v>
      </c>
      <c r="P8" s="77">
        <v>0.2</v>
      </c>
      <c r="Q8" s="77">
        <v>0.2</v>
      </c>
      <c r="R8" s="78">
        <v>0.2</v>
      </c>
      <c r="S8" s="78">
        <v>0.2</v>
      </c>
      <c r="T8" s="78">
        <v>0.2</v>
      </c>
      <c r="U8" s="78">
        <v>0.2</v>
      </c>
      <c r="V8" s="78">
        <v>0.2</v>
      </c>
      <c r="W8" s="79">
        <v>0.2</v>
      </c>
      <c r="X8" s="24"/>
      <c r="Y8" s="24"/>
    </row>
    <row r="9" spans="1:25" ht="15.95">
      <c r="A9" s="305"/>
      <c r="B9" s="47"/>
      <c r="C9" s="50" t="s">
        <v>62</v>
      </c>
      <c r="D9" s="51"/>
      <c r="E9" s="52"/>
      <c r="F9" s="31" t="s">
        <v>33</v>
      </c>
      <c r="G9" s="33"/>
      <c r="H9" s="30" t="s">
        <v>78</v>
      </c>
      <c r="I9" s="30" t="s">
        <v>79</v>
      </c>
      <c r="J9" s="35" t="s">
        <v>2</v>
      </c>
      <c r="K9" s="33"/>
      <c r="L9" s="76"/>
      <c r="M9" s="77"/>
      <c r="N9" s="77">
        <v>0.1</v>
      </c>
      <c r="O9" s="77">
        <v>0.1</v>
      </c>
      <c r="P9" s="77"/>
      <c r="Q9" s="77">
        <v>0.05</v>
      </c>
      <c r="R9" s="77">
        <v>0.05</v>
      </c>
      <c r="S9" s="77">
        <v>0.05</v>
      </c>
      <c r="T9" s="77">
        <v>0.05</v>
      </c>
      <c r="U9" s="77">
        <v>0.05</v>
      </c>
      <c r="V9" s="77">
        <v>0.05</v>
      </c>
      <c r="W9" s="79">
        <v>0.05</v>
      </c>
      <c r="X9" s="24"/>
      <c r="Y9" s="24"/>
    </row>
    <row r="10" spans="1:25" ht="15.75" hidden="1" customHeight="1">
      <c r="A10" s="305"/>
      <c r="B10" s="47"/>
      <c r="C10" s="50"/>
      <c r="D10" s="53"/>
      <c r="E10" s="54"/>
      <c r="F10" s="36" t="s">
        <v>80</v>
      </c>
      <c r="G10" s="32"/>
      <c r="H10" s="30" t="s">
        <v>81</v>
      </c>
      <c r="I10" s="37"/>
      <c r="J10" s="35" t="s">
        <v>2</v>
      </c>
      <c r="K10" s="32"/>
      <c r="L10" s="76"/>
      <c r="M10" s="77"/>
      <c r="N10" s="77"/>
      <c r="O10" s="77"/>
      <c r="P10" s="77"/>
      <c r="Q10" s="77"/>
      <c r="R10" s="78"/>
      <c r="S10" s="78"/>
      <c r="T10" s="78"/>
      <c r="U10" s="78"/>
      <c r="V10" s="78"/>
      <c r="W10" s="79"/>
      <c r="X10" s="24"/>
      <c r="Y10" s="24"/>
    </row>
    <row r="11" spans="1:25" hidden="1">
      <c r="A11" s="305"/>
      <c r="B11" s="48"/>
      <c r="C11" s="50"/>
      <c r="D11" s="55"/>
      <c r="E11" s="55"/>
      <c r="F11" s="35" t="s">
        <v>82</v>
      </c>
      <c r="G11" s="35"/>
      <c r="H11" s="37" t="s">
        <v>81</v>
      </c>
      <c r="I11" s="38"/>
      <c r="J11" s="35" t="s">
        <v>2</v>
      </c>
      <c r="K11" s="35"/>
      <c r="L11" s="76"/>
      <c r="M11" s="77"/>
      <c r="N11" s="77"/>
      <c r="O11" s="77"/>
      <c r="P11" s="77"/>
      <c r="Q11" s="77"/>
      <c r="R11" s="78"/>
      <c r="S11" s="78"/>
      <c r="T11" s="78"/>
      <c r="U11" s="78"/>
      <c r="V11" s="78"/>
      <c r="W11" s="79"/>
      <c r="X11" s="24"/>
      <c r="Y11" s="24"/>
    </row>
    <row r="12" spans="1:25">
      <c r="A12" s="306"/>
      <c r="B12" s="49"/>
      <c r="C12" s="57"/>
      <c r="D12" s="56"/>
      <c r="E12" s="56"/>
      <c r="F12" s="39"/>
      <c r="G12" s="39"/>
      <c r="H12" s="40"/>
      <c r="I12" s="40"/>
      <c r="J12" s="40"/>
      <c r="K12" s="39"/>
      <c r="L12" s="80"/>
      <c r="M12" s="81"/>
      <c r="N12" s="81"/>
      <c r="O12" s="81"/>
      <c r="P12" s="81"/>
      <c r="Q12" s="81"/>
      <c r="R12" s="82"/>
      <c r="S12" s="82"/>
      <c r="T12" s="82"/>
      <c r="U12" s="82"/>
      <c r="V12" s="82"/>
      <c r="W12" s="83"/>
      <c r="X12" s="24"/>
      <c r="Y12" s="24"/>
    </row>
    <row r="13" spans="1: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84">
        <f t="shared" ref="L13:W13" si="0">SUM(L4:L12)</f>
        <v>0.1</v>
      </c>
      <c r="M13" s="84">
        <f t="shared" si="0"/>
        <v>0.4</v>
      </c>
      <c r="N13" s="84">
        <f t="shared" si="0"/>
        <v>1.5000000000000002</v>
      </c>
      <c r="O13" s="84">
        <f t="shared" si="0"/>
        <v>1.5000000000000002</v>
      </c>
      <c r="P13" s="84">
        <f t="shared" si="0"/>
        <v>1.2</v>
      </c>
      <c r="Q13" s="84">
        <f t="shared" si="0"/>
        <v>1.25</v>
      </c>
      <c r="R13" s="84">
        <f t="shared" si="0"/>
        <v>1.05</v>
      </c>
      <c r="S13" s="84">
        <f t="shared" si="0"/>
        <v>1.05</v>
      </c>
      <c r="T13" s="84">
        <f t="shared" si="0"/>
        <v>1.05</v>
      </c>
      <c r="U13" s="84">
        <f t="shared" si="0"/>
        <v>1.05</v>
      </c>
      <c r="V13" s="84">
        <f t="shared" si="0"/>
        <v>1.05</v>
      </c>
      <c r="W13" s="84">
        <f t="shared" si="0"/>
        <v>1.05</v>
      </c>
      <c r="X13" s="24"/>
      <c r="Y13" s="24"/>
    </row>
    <row r="14" spans="1:25">
      <c r="A14" s="24"/>
      <c r="B14" s="24"/>
      <c r="C14" s="24"/>
      <c r="D14" s="24"/>
      <c r="E14" s="24"/>
      <c r="F14" s="24"/>
      <c r="G14" s="24"/>
      <c r="H14" s="24"/>
      <c r="I14" s="307"/>
      <c r="J14" s="307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spans="1:25" ht="24">
      <c r="B15" s="41"/>
      <c r="C15" s="120" t="s">
        <v>83</v>
      </c>
      <c r="D15" s="24"/>
      <c r="E15" s="24"/>
      <c r="F15" s="24"/>
      <c r="G15" s="24"/>
      <c r="H15" s="42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spans="1:25">
      <c r="A16" s="24"/>
      <c r="B16" s="43"/>
      <c r="C16" s="44"/>
      <c r="D16" s="44"/>
      <c r="E16" s="44"/>
      <c r="F16" s="44"/>
      <c r="G16" s="24"/>
      <c r="H16" s="24"/>
      <c r="I16" s="115"/>
      <c r="J16" s="115"/>
      <c r="K16" s="115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spans="1:25">
      <c r="A17" s="24"/>
      <c r="B17" s="24"/>
      <c r="C17" s="44"/>
      <c r="D17" s="44"/>
      <c r="E17" s="24"/>
      <c r="F17" s="24"/>
      <c r="G17" s="24"/>
      <c r="H17" s="24"/>
      <c r="J17" s="116"/>
      <c r="K17" s="115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spans="1:25">
      <c r="A18" s="24"/>
      <c r="B18" s="24"/>
      <c r="C18" s="44"/>
      <c r="D18" s="24"/>
      <c r="E18" s="24"/>
      <c r="F18" s="24"/>
      <c r="G18" s="24"/>
      <c r="H18" s="42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spans="1:25">
      <c r="A19" s="24"/>
      <c r="B19" s="24"/>
      <c r="C19" s="44"/>
      <c r="D19" s="24"/>
      <c r="E19" s="24"/>
      <c r="F19" s="24"/>
      <c r="G19" s="24"/>
      <c r="H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spans="1:25">
      <c r="A20" s="24"/>
      <c r="B20" s="24"/>
      <c r="C20" s="24"/>
      <c r="D20" s="24"/>
      <c r="E20" s="24"/>
      <c r="F20" s="24"/>
      <c r="G20" s="24"/>
      <c r="H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spans="1:25">
      <c r="A21" s="24"/>
      <c r="B21" s="42"/>
      <c r="C21" s="24"/>
      <c r="D21" s="24"/>
      <c r="E21" s="24"/>
      <c r="F21" s="24"/>
      <c r="G21" s="24"/>
      <c r="H21" s="42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spans="1: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spans="1: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spans="1: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spans="1: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spans="1: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spans="1: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spans="1:25">
      <c r="A28" s="24"/>
      <c r="B28" s="24"/>
      <c r="C28" s="42"/>
      <c r="D28" s="42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 spans="1: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spans="1: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spans="1: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 spans="1: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spans="1:3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spans="1:3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spans="1:3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spans="1:3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spans="1:3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spans="1:3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spans="1:3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spans="1:3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spans="1:3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spans="1:3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1:3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1:3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</row>
    <row r="45" spans="1:3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</row>
    <row r="46" spans="1:3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</row>
    <row r="47" spans="1:3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</row>
    <row r="48" spans="1:3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</row>
    <row r="49" spans="1:3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</row>
    <row r="50" spans="1:3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</row>
    <row r="51" spans="1:3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</row>
    <row r="52" spans="1:3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</row>
    <row r="53" spans="1:3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</row>
    <row r="54" spans="1:3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</row>
    <row r="55" spans="1:3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</row>
    <row r="56" spans="1:3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</row>
    <row r="57" spans="1:3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</row>
    <row r="58" spans="1:3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</row>
    <row r="59" spans="1:3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</row>
    <row r="60" spans="1:3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</row>
    <row r="61" spans="1:3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</row>
    <row r="62" spans="1:3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</row>
    <row r="63" spans="1:3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</row>
    <row r="64" spans="1:3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</row>
    <row r="65" spans="1:3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</row>
    <row r="66" spans="1:3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</row>
    <row r="67" spans="1:3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spans="1:3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spans="1:3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spans="1:3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spans="1:3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spans="1:3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spans="1:3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spans="1:3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spans="1:3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spans="1:3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spans="1:3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spans="1:3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 spans="1:3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spans="1:3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spans="1:2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spans="1:2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spans="1:2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 spans="1:2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spans="1: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 spans="1: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spans="1: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 spans="1: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 spans="1: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 spans="1: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 spans="1: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 spans="1: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 spans="1: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 spans="1: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 spans="1: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 spans="1: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 spans="1: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spans="1: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spans="1: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spans="1: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 spans="1:2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spans="1:2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 spans="1:2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 spans="1:2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 spans="1:2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spans="1:2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 spans="1:2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 spans="1:2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 spans="1:2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 spans="1:2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 spans="1:2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 spans="1:2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</sheetData>
  <mergeCells count="2">
    <mergeCell ref="A4:A12"/>
    <mergeCell ref="I14:J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4B186-BE05-4E57-9194-4A65537898B5}">
  <sheetPr>
    <tabColor rgb="FF00B050"/>
  </sheetPr>
  <dimension ref="A1:AE78"/>
  <sheetViews>
    <sheetView showGridLines="0" topLeftCell="E1" workbookViewId="0">
      <selection activeCell="L25" sqref="L25"/>
    </sheetView>
  </sheetViews>
  <sheetFormatPr defaultColWidth="8.85546875" defaultRowHeight="15"/>
  <cols>
    <col min="1" max="1" width="0" hidden="1" customWidth="1"/>
    <col min="2" max="2" width="17" hidden="1" customWidth="1"/>
    <col min="3" max="3" width="45.28515625" hidden="1" customWidth="1"/>
    <col min="4" max="4" width="17.42578125" hidden="1" customWidth="1"/>
    <col min="5" max="5" width="22.42578125" customWidth="1"/>
    <col min="6" max="6" width="21.140625" customWidth="1"/>
    <col min="7" max="7" width="9.140625" customWidth="1"/>
    <col min="8" max="8" width="14.140625" customWidth="1"/>
    <col min="9" max="9" width="9.28515625" customWidth="1"/>
    <col min="10" max="11" width="6.42578125" customWidth="1"/>
    <col min="12" max="12" width="5.85546875" bestFit="1" customWidth="1"/>
    <col min="13" max="13" width="6" bestFit="1" customWidth="1"/>
    <col min="14" max="14" width="6.140625" bestFit="1" customWidth="1"/>
    <col min="15" max="15" width="5.85546875" bestFit="1" customWidth="1"/>
    <col min="16" max="16" width="6.28515625" bestFit="1" customWidth="1"/>
    <col min="17" max="17" width="5.85546875" bestFit="1" customWidth="1"/>
    <col min="18" max="19" width="6" bestFit="1" customWidth="1"/>
    <col min="20" max="20" width="6.140625" bestFit="1" customWidth="1"/>
    <col min="21" max="21" width="6" bestFit="1" customWidth="1"/>
  </cols>
  <sheetData>
    <row r="1" spans="1:31" ht="24">
      <c r="A1" s="22"/>
      <c r="B1" s="22"/>
      <c r="C1" s="23" t="s">
        <v>50</v>
      </c>
      <c r="D1" s="23" t="s">
        <v>50</v>
      </c>
      <c r="E1" s="23" t="s">
        <v>50</v>
      </c>
      <c r="F1" s="23" t="s">
        <v>50</v>
      </c>
      <c r="G1" s="23" t="s">
        <v>50</v>
      </c>
      <c r="H1" s="23" t="s">
        <v>50</v>
      </c>
      <c r="I1" s="23" t="s">
        <v>50</v>
      </c>
      <c r="J1" s="23" t="s">
        <v>50</v>
      </c>
      <c r="K1" s="23" t="s">
        <v>50</v>
      </c>
      <c r="L1" s="23" t="s">
        <v>50</v>
      </c>
      <c r="M1" s="23" t="s">
        <v>50</v>
      </c>
      <c r="N1" s="23" t="s">
        <v>50</v>
      </c>
      <c r="O1" s="23" t="s">
        <v>50</v>
      </c>
      <c r="P1" s="23" t="s">
        <v>50</v>
      </c>
      <c r="Q1" s="23" t="s">
        <v>50</v>
      </c>
      <c r="R1" s="23" t="s">
        <v>50</v>
      </c>
      <c r="S1" s="23" t="s">
        <v>50</v>
      </c>
      <c r="T1" s="23" t="s">
        <v>50</v>
      </c>
      <c r="U1" s="23" t="s">
        <v>50</v>
      </c>
      <c r="V1" s="23" t="s">
        <v>50</v>
      </c>
      <c r="W1" s="23" t="s">
        <v>50</v>
      </c>
      <c r="X1" s="24"/>
      <c r="Y1" s="24"/>
    </row>
    <row r="2" spans="1:31">
      <c r="A2" s="24"/>
      <c r="B2" s="24"/>
      <c r="C2" s="43" t="s">
        <v>84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Y2" s="24"/>
    </row>
    <row r="3" spans="1:31">
      <c r="A3" s="24"/>
      <c r="B3" s="24"/>
      <c r="C3" s="45" t="s">
        <v>85</v>
      </c>
      <c r="D3" s="45" t="s">
        <v>86</v>
      </c>
      <c r="E3" s="45" t="s">
        <v>57</v>
      </c>
      <c r="F3" s="45" t="s">
        <v>87</v>
      </c>
      <c r="G3" s="45" t="s">
        <v>59</v>
      </c>
      <c r="H3" s="45" t="s">
        <v>88</v>
      </c>
      <c r="I3" s="168" t="s">
        <v>56</v>
      </c>
      <c r="J3" s="28" t="s">
        <v>89</v>
      </c>
      <c r="K3" s="27" t="s">
        <v>90</v>
      </c>
      <c r="L3" s="28" t="s">
        <v>91</v>
      </c>
      <c r="M3" s="28" t="s">
        <v>92</v>
      </c>
      <c r="N3" s="28" t="s">
        <v>93</v>
      </c>
      <c r="O3" s="28" t="s">
        <v>94</v>
      </c>
      <c r="P3" s="28" t="s">
        <v>95</v>
      </c>
      <c r="Q3" s="28" t="s">
        <v>96</v>
      </c>
      <c r="R3" s="28" t="s">
        <v>97</v>
      </c>
      <c r="S3" s="28" t="s">
        <v>98</v>
      </c>
      <c r="T3" s="28" t="s">
        <v>99</v>
      </c>
      <c r="U3" s="28" t="s">
        <v>100</v>
      </c>
      <c r="V3" s="24"/>
      <c r="W3" s="24"/>
      <c r="X3" s="24"/>
      <c r="Y3" s="24"/>
    </row>
    <row r="4" spans="1:31" ht="15.95">
      <c r="A4" s="166"/>
      <c r="B4" s="46"/>
      <c r="C4" s="50" t="s">
        <v>101</v>
      </c>
      <c r="D4" s="51" t="s">
        <v>102</v>
      </c>
      <c r="E4" s="52" t="s">
        <v>103</v>
      </c>
      <c r="F4" s="31" t="s">
        <v>4</v>
      </c>
      <c r="G4" s="30" t="s">
        <v>65</v>
      </c>
      <c r="H4" s="31" t="s">
        <v>65</v>
      </c>
      <c r="I4" s="169" t="s">
        <v>104</v>
      </c>
      <c r="J4" s="172">
        <v>0</v>
      </c>
      <c r="K4" s="173">
        <v>0.1</v>
      </c>
      <c r="L4" s="174">
        <v>0.2</v>
      </c>
      <c r="M4" s="175">
        <v>0.2</v>
      </c>
      <c r="N4" s="175">
        <v>0.2</v>
      </c>
      <c r="O4" s="175">
        <v>0.2</v>
      </c>
      <c r="P4" s="175">
        <v>0.2</v>
      </c>
      <c r="Q4" s="175">
        <v>0.2</v>
      </c>
      <c r="R4" s="176">
        <v>0.2</v>
      </c>
      <c r="S4" s="176">
        <v>0.2</v>
      </c>
      <c r="T4" s="176">
        <v>0.2</v>
      </c>
      <c r="U4" s="176">
        <v>0.2</v>
      </c>
      <c r="W4" s="24"/>
      <c r="X4" s="24"/>
      <c r="Y4" s="24"/>
    </row>
    <row r="5" spans="1:31">
      <c r="A5" s="24"/>
      <c r="B5" s="24"/>
      <c r="C5" s="50" t="s">
        <v>101</v>
      </c>
      <c r="D5" s="50" t="s">
        <v>102</v>
      </c>
      <c r="E5" s="50" t="s">
        <v>39</v>
      </c>
      <c r="F5" s="50" t="s">
        <v>71</v>
      </c>
      <c r="G5" s="50" t="s">
        <v>105</v>
      </c>
      <c r="H5" s="50" t="s">
        <v>72</v>
      </c>
      <c r="I5" s="170" t="s">
        <v>106</v>
      </c>
      <c r="J5" s="177">
        <v>0</v>
      </c>
      <c r="K5" s="178">
        <v>0</v>
      </c>
      <c r="L5" s="178">
        <v>0.5</v>
      </c>
      <c r="M5" s="178">
        <v>0.5</v>
      </c>
      <c r="N5" s="178">
        <v>0.5</v>
      </c>
      <c r="O5" s="178">
        <v>0.5</v>
      </c>
      <c r="P5" s="178">
        <v>0.5</v>
      </c>
      <c r="Q5" s="178">
        <v>0.5</v>
      </c>
      <c r="R5" s="178">
        <v>0.5</v>
      </c>
      <c r="S5" s="178">
        <v>0.5</v>
      </c>
      <c r="T5" s="178">
        <v>0.5</v>
      </c>
      <c r="U5" s="178">
        <v>0.5</v>
      </c>
      <c r="V5" s="24"/>
      <c r="W5" s="167"/>
      <c r="X5" s="24"/>
      <c r="Y5" s="24"/>
    </row>
    <row r="6" spans="1:31">
      <c r="A6" s="24"/>
      <c r="B6" s="24"/>
      <c r="C6" s="50" t="s">
        <v>101</v>
      </c>
      <c r="D6" s="50" t="s">
        <v>102</v>
      </c>
      <c r="E6" s="50" t="s">
        <v>39</v>
      </c>
      <c r="F6" s="50" t="s">
        <v>107</v>
      </c>
      <c r="G6" s="50" t="s">
        <v>108</v>
      </c>
      <c r="H6" s="50" t="s">
        <v>108</v>
      </c>
      <c r="I6" s="170" t="s">
        <v>109</v>
      </c>
      <c r="J6" s="177">
        <v>0</v>
      </c>
      <c r="K6" s="178">
        <v>0</v>
      </c>
      <c r="L6" s="178">
        <v>1</v>
      </c>
      <c r="M6" s="178">
        <v>1</v>
      </c>
      <c r="N6" s="178">
        <v>1</v>
      </c>
      <c r="O6" s="178">
        <v>1</v>
      </c>
      <c r="P6" s="178">
        <v>1</v>
      </c>
      <c r="Q6" s="178">
        <v>1</v>
      </c>
      <c r="R6" s="178">
        <v>1</v>
      </c>
      <c r="S6" s="178">
        <v>1</v>
      </c>
      <c r="T6" s="178">
        <v>1</v>
      </c>
      <c r="U6" s="178">
        <v>1</v>
      </c>
      <c r="W6" s="24"/>
      <c r="X6" s="24"/>
      <c r="Y6" s="24"/>
    </row>
    <row r="7" spans="1:31" hidden="1">
      <c r="A7" s="24"/>
      <c r="B7" s="24"/>
      <c r="C7" s="50" t="s">
        <v>101</v>
      </c>
      <c r="D7" s="50" t="s">
        <v>102</v>
      </c>
      <c r="E7" s="50" t="s">
        <v>39</v>
      </c>
      <c r="F7" s="50" t="s">
        <v>110</v>
      </c>
      <c r="G7" s="50" t="e">
        <v>#N/A</v>
      </c>
      <c r="H7" s="50"/>
      <c r="I7" s="170"/>
      <c r="J7" s="177">
        <v>0</v>
      </c>
      <c r="K7" s="178">
        <v>0</v>
      </c>
      <c r="L7" s="178">
        <v>0</v>
      </c>
      <c r="M7" s="178">
        <v>0</v>
      </c>
      <c r="N7" s="178">
        <v>0</v>
      </c>
      <c r="O7" s="178">
        <v>0</v>
      </c>
      <c r="P7" s="178">
        <v>0</v>
      </c>
      <c r="Q7" s="178">
        <v>1</v>
      </c>
      <c r="R7" s="178">
        <v>1</v>
      </c>
      <c r="S7" s="178">
        <v>1</v>
      </c>
      <c r="T7" s="178">
        <v>1</v>
      </c>
      <c r="U7" s="178">
        <v>1</v>
      </c>
      <c r="V7" s="217" t="s">
        <v>111</v>
      </c>
      <c r="W7" s="24"/>
      <c r="X7" s="24"/>
      <c r="Y7" s="24"/>
    </row>
    <row r="8" spans="1:31" hidden="1">
      <c r="A8" s="24"/>
      <c r="B8" s="24"/>
      <c r="C8" s="50" t="s">
        <v>101</v>
      </c>
      <c r="D8" s="50" t="s">
        <v>102</v>
      </c>
      <c r="E8" s="50" t="s">
        <v>112</v>
      </c>
      <c r="F8" s="50" t="s">
        <v>110</v>
      </c>
      <c r="G8" s="50" t="e">
        <v>#N/A</v>
      </c>
      <c r="H8" s="50"/>
      <c r="I8" s="170"/>
      <c r="J8" s="177">
        <v>0</v>
      </c>
      <c r="K8" s="178">
        <v>0</v>
      </c>
      <c r="L8" s="178">
        <v>1</v>
      </c>
      <c r="M8" s="178">
        <v>1</v>
      </c>
      <c r="N8" s="178">
        <v>1</v>
      </c>
      <c r="O8" s="178">
        <v>0</v>
      </c>
      <c r="P8" s="178">
        <v>0</v>
      </c>
      <c r="Q8" s="178">
        <v>0</v>
      </c>
      <c r="R8" s="178">
        <v>0</v>
      </c>
      <c r="S8" s="178">
        <v>0</v>
      </c>
      <c r="T8" s="178">
        <v>0</v>
      </c>
      <c r="U8" s="178">
        <v>0</v>
      </c>
      <c r="W8" s="24"/>
      <c r="X8" s="24"/>
      <c r="Y8" s="24"/>
    </row>
    <row r="9" spans="1:31">
      <c r="A9" s="24"/>
      <c r="B9" s="24"/>
      <c r="C9" s="50" t="s">
        <v>101</v>
      </c>
      <c r="D9" s="50" t="s">
        <v>102</v>
      </c>
      <c r="E9" s="50" t="s">
        <v>67</v>
      </c>
      <c r="F9" s="50" t="s">
        <v>68</v>
      </c>
      <c r="G9" s="50" t="s">
        <v>69</v>
      </c>
      <c r="H9" s="50" t="s">
        <v>69</v>
      </c>
      <c r="I9" s="170" t="s">
        <v>106</v>
      </c>
      <c r="J9" s="177">
        <v>0</v>
      </c>
      <c r="K9" s="178">
        <v>0</v>
      </c>
      <c r="L9" s="178">
        <v>0.2</v>
      </c>
      <c r="M9" s="178">
        <v>0.2</v>
      </c>
      <c r="N9" s="178">
        <v>0</v>
      </c>
      <c r="O9" s="178">
        <v>0</v>
      </c>
      <c r="P9" s="178">
        <v>0</v>
      </c>
      <c r="Q9" s="178">
        <v>0</v>
      </c>
      <c r="R9" s="178">
        <v>0</v>
      </c>
      <c r="S9" s="178">
        <v>0</v>
      </c>
      <c r="T9" s="178">
        <v>0</v>
      </c>
      <c r="U9" s="178">
        <v>0</v>
      </c>
      <c r="W9" s="24"/>
      <c r="X9" s="24"/>
      <c r="Y9" s="24"/>
    </row>
    <row r="10" spans="1:31">
      <c r="A10" s="24"/>
      <c r="B10" s="24"/>
      <c r="C10" s="50" t="s">
        <v>101</v>
      </c>
      <c r="D10" s="50" t="s">
        <v>102</v>
      </c>
      <c r="E10" s="50" t="s">
        <v>44</v>
      </c>
      <c r="F10" s="50" t="s">
        <v>76</v>
      </c>
      <c r="G10" s="50" t="s">
        <v>77</v>
      </c>
      <c r="H10" s="50" t="s">
        <v>77</v>
      </c>
      <c r="I10" s="170" t="s">
        <v>106</v>
      </c>
      <c r="J10" s="177">
        <v>0</v>
      </c>
      <c r="K10" s="178">
        <v>0.2</v>
      </c>
      <c r="L10" s="178">
        <v>0.2</v>
      </c>
      <c r="M10" s="178">
        <v>0.2</v>
      </c>
      <c r="N10" s="178">
        <v>0.2</v>
      </c>
      <c r="O10" s="178">
        <v>0.2</v>
      </c>
      <c r="P10" s="178">
        <v>0.2</v>
      </c>
      <c r="Q10" s="178">
        <v>0.2</v>
      </c>
      <c r="R10" s="178">
        <v>0.2</v>
      </c>
      <c r="S10" s="178">
        <v>0.2</v>
      </c>
      <c r="T10" s="178">
        <v>0.2</v>
      </c>
      <c r="U10" s="178" t="s">
        <v>113</v>
      </c>
      <c r="W10" s="24"/>
      <c r="X10" s="24"/>
      <c r="Y10" s="24"/>
      <c r="Z10" s="24"/>
      <c r="AA10" s="24"/>
      <c r="AB10" s="24"/>
      <c r="AC10" s="24"/>
      <c r="AD10" s="24"/>
      <c r="AE10" s="24"/>
    </row>
    <row r="11" spans="1:31">
      <c r="A11" s="24"/>
      <c r="B11" s="24"/>
      <c r="C11" s="50" t="s">
        <v>101</v>
      </c>
      <c r="D11" s="50" t="s">
        <v>102</v>
      </c>
      <c r="E11" s="50" t="s">
        <v>114</v>
      </c>
      <c r="F11" s="50" t="s">
        <v>78</v>
      </c>
      <c r="G11" s="50" t="s">
        <v>79</v>
      </c>
      <c r="H11" s="50" t="s">
        <v>79</v>
      </c>
      <c r="I11" s="170" t="s">
        <v>106</v>
      </c>
      <c r="J11" s="179">
        <v>0</v>
      </c>
      <c r="K11" s="180">
        <v>0</v>
      </c>
      <c r="L11" s="180">
        <v>0.1</v>
      </c>
      <c r="M11" s="180">
        <v>0.1</v>
      </c>
      <c r="N11" s="180">
        <v>0</v>
      </c>
      <c r="O11" s="180">
        <v>0.05</v>
      </c>
      <c r="P11" s="180">
        <v>0.05</v>
      </c>
      <c r="Q11" s="180">
        <v>0.05</v>
      </c>
      <c r="R11" s="180">
        <v>0.05</v>
      </c>
      <c r="S11" s="180">
        <v>0.05</v>
      </c>
      <c r="T11" s="180">
        <v>0.05</v>
      </c>
      <c r="U11" s="180" t="s">
        <v>115</v>
      </c>
      <c r="W11" s="24"/>
      <c r="X11" s="24"/>
      <c r="Y11" s="24"/>
      <c r="Z11" s="24"/>
      <c r="AA11" s="24"/>
      <c r="AB11" s="24"/>
      <c r="AC11" s="24"/>
      <c r="AD11" s="24"/>
      <c r="AE11" s="24"/>
    </row>
    <row r="12" spans="1:31">
      <c r="A12" s="24"/>
      <c r="B12" s="24"/>
      <c r="C12" s="24"/>
      <c r="D12" s="24"/>
      <c r="E12" s="24"/>
      <c r="F12" s="24"/>
      <c r="G12" s="24"/>
      <c r="I12" s="24"/>
      <c r="J12" s="171">
        <f>SUM(J4:J11)</f>
        <v>0</v>
      </c>
      <c r="K12" s="171">
        <f>SUM(K4:K11)</f>
        <v>0.30000000000000004</v>
      </c>
      <c r="L12" s="171">
        <f t="shared" ref="L12:U12" si="0">SUM(L4:L11)</f>
        <v>3.2000000000000006</v>
      </c>
      <c r="M12" s="171">
        <f t="shared" si="0"/>
        <v>3.2000000000000006</v>
      </c>
      <c r="N12" s="171">
        <f t="shared" si="0"/>
        <v>2.9000000000000004</v>
      </c>
      <c r="O12" s="171">
        <f t="shared" si="0"/>
        <v>1.95</v>
      </c>
      <c r="P12" s="171">
        <f t="shared" si="0"/>
        <v>1.95</v>
      </c>
      <c r="Q12" s="171">
        <f t="shared" si="0"/>
        <v>2.95</v>
      </c>
      <c r="R12" s="171">
        <f t="shared" si="0"/>
        <v>2.95</v>
      </c>
      <c r="S12" s="171">
        <f t="shared" si="0"/>
        <v>2.95</v>
      </c>
      <c r="T12" s="171">
        <f t="shared" si="0"/>
        <v>2.95</v>
      </c>
      <c r="U12" s="171">
        <f t="shared" si="0"/>
        <v>2.7</v>
      </c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 spans="1:31" ht="24">
      <c r="A13" s="24"/>
      <c r="B13" s="24"/>
      <c r="C13" s="120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 spans="1:3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 spans="1:3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 spans="1:3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 spans="1:3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 spans="1:3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 spans="1:3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</row>
    <row r="20" spans="1:3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1" spans="1:3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</row>
    <row r="22" spans="1:3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</row>
    <row r="23" spans="1:3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</row>
    <row r="24" spans="1:3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</row>
    <row r="25" spans="1:3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</row>
    <row r="26" spans="1:3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</row>
    <row r="27" spans="1:3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</row>
    <row r="28" spans="1:3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</row>
    <row r="29" spans="1:3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</row>
    <row r="31" spans="1: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</row>
    <row r="32" spans="1:3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</row>
    <row r="33" spans="1: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spans="1: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spans="1: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spans="1: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spans="1: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spans="1:2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spans="1: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spans="1: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spans="1: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spans="1:2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1: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1: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spans="1: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spans="1: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spans="1: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1:2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spans="1: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spans="1: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1: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spans="1: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spans="1: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spans="1: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spans="1: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spans="1: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spans="1: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spans="1: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spans="1: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spans="1: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spans="1: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spans="1: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spans="1: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spans="1: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spans="1: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spans="1: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spans="1: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spans="1:2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spans="1: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spans="1: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spans="1:2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spans="1:2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spans="1:2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spans="1:2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spans="1:2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spans="1:2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spans="1:2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spans="1:2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</sheetData>
  <autoFilter ref="A3:AE3" xr:uid="{5E6FF015-6D77-4827-B783-5F057AF6A9B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F2340-BDF6-4EB9-8F4B-EAE4C78952B0}">
  <dimension ref="A1:C9"/>
  <sheetViews>
    <sheetView showGridLines="0" workbookViewId="0"/>
  </sheetViews>
  <sheetFormatPr defaultColWidth="8.85546875" defaultRowHeight="15"/>
  <cols>
    <col min="1" max="1" width="9.140625" style="132"/>
    <col min="2" max="2" width="59.85546875" customWidth="1"/>
    <col min="3" max="3" width="105.28515625" customWidth="1"/>
  </cols>
  <sheetData>
    <row r="1" spans="1:3" s="131" customFormat="1">
      <c r="A1" s="136" t="s">
        <v>14</v>
      </c>
      <c r="B1" s="136" t="s">
        <v>116</v>
      </c>
      <c r="C1" s="136" t="s">
        <v>117</v>
      </c>
    </row>
    <row r="2" spans="1:3" ht="78.75" customHeight="1">
      <c r="A2" s="137">
        <v>1</v>
      </c>
      <c r="B2" s="138" t="s">
        <v>118</v>
      </c>
      <c r="C2" s="139" t="s">
        <v>119</v>
      </c>
    </row>
    <row r="3" spans="1:3" ht="65.25" customHeight="1">
      <c r="A3" s="137">
        <v>2</v>
      </c>
      <c r="B3" s="138" t="s">
        <v>120</v>
      </c>
      <c r="C3" s="139" t="s">
        <v>121</v>
      </c>
    </row>
    <row r="4" spans="1:3">
      <c r="A4" s="137">
        <v>3</v>
      </c>
      <c r="B4" s="138" t="s">
        <v>122</v>
      </c>
      <c r="C4" s="140" t="s">
        <v>123</v>
      </c>
    </row>
    <row r="5" spans="1:3" ht="15.95">
      <c r="A5" s="137">
        <v>4</v>
      </c>
      <c r="B5" s="138" t="s">
        <v>124</v>
      </c>
      <c r="C5" s="139" t="s">
        <v>125</v>
      </c>
    </row>
    <row r="6" spans="1:3" ht="48">
      <c r="A6" s="137">
        <v>5</v>
      </c>
      <c r="B6" s="138" t="s">
        <v>126</v>
      </c>
      <c r="C6" s="139" t="s">
        <v>127</v>
      </c>
    </row>
    <row r="7" spans="1:3">
      <c r="A7" s="143">
        <v>6</v>
      </c>
      <c r="B7" s="144" t="s">
        <v>128</v>
      </c>
      <c r="C7" s="144" t="s">
        <v>129</v>
      </c>
    </row>
    <row r="8" spans="1:3">
      <c r="A8" s="145">
        <v>7</v>
      </c>
      <c r="B8" s="146" t="s">
        <v>130</v>
      </c>
      <c r="C8" s="146" t="s">
        <v>131</v>
      </c>
    </row>
    <row r="9" spans="1:3">
      <c r="A9" s="141">
        <v>8</v>
      </c>
      <c r="B9" s="142" t="s">
        <v>132</v>
      </c>
      <c r="C9" s="142" t="s">
        <v>133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22B8D-B51F-4246-BE7F-1588CE02801D}">
  <sheetPr>
    <tabColor rgb="FF00B050"/>
  </sheetPr>
  <dimension ref="A1:AE78"/>
  <sheetViews>
    <sheetView showGridLines="0" topLeftCell="E1" workbookViewId="0">
      <selection activeCell="L19" sqref="L19"/>
    </sheetView>
  </sheetViews>
  <sheetFormatPr defaultColWidth="8.85546875" defaultRowHeight="15"/>
  <cols>
    <col min="1" max="1" width="0" hidden="1" customWidth="1"/>
    <col min="2" max="2" width="17" hidden="1" customWidth="1"/>
    <col min="3" max="3" width="45.28515625" hidden="1" customWidth="1"/>
    <col min="4" max="4" width="17.42578125" hidden="1" customWidth="1"/>
    <col min="5" max="5" width="22.42578125" customWidth="1"/>
    <col min="6" max="6" width="21.140625" customWidth="1"/>
    <col min="7" max="7" width="9.140625" hidden="1" customWidth="1"/>
    <col min="8" max="8" width="14.140625" hidden="1" customWidth="1"/>
    <col min="9" max="9" width="9.28515625" customWidth="1"/>
    <col min="10" max="11" width="6.42578125" customWidth="1"/>
    <col min="12" max="12" width="5.85546875" bestFit="1" customWidth="1"/>
    <col min="13" max="13" width="6" bestFit="1" customWidth="1"/>
    <col min="14" max="14" width="6.140625" bestFit="1" customWidth="1"/>
    <col min="15" max="15" width="5.85546875" bestFit="1" customWidth="1"/>
    <col min="16" max="16" width="6.28515625" bestFit="1" customWidth="1"/>
    <col min="17" max="17" width="5.85546875" bestFit="1" customWidth="1"/>
    <col min="18" max="19" width="6" bestFit="1" customWidth="1"/>
    <col min="20" max="20" width="6.140625" bestFit="1" customWidth="1"/>
    <col min="21" max="21" width="6" bestFit="1" customWidth="1"/>
  </cols>
  <sheetData>
    <row r="1" spans="1:31" ht="24">
      <c r="A1" s="22"/>
      <c r="B1" s="22"/>
      <c r="C1" s="23" t="s">
        <v>50</v>
      </c>
      <c r="D1" s="23" t="s">
        <v>50</v>
      </c>
      <c r="E1" s="23" t="s">
        <v>50</v>
      </c>
      <c r="F1" s="23" t="s">
        <v>50</v>
      </c>
      <c r="G1" s="23" t="s">
        <v>50</v>
      </c>
      <c r="H1" s="23" t="s">
        <v>50</v>
      </c>
      <c r="I1" s="23" t="s">
        <v>50</v>
      </c>
      <c r="J1" s="23" t="s">
        <v>50</v>
      </c>
      <c r="K1" s="23" t="s">
        <v>50</v>
      </c>
      <c r="L1" s="23" t="s">
        <v>50</v>
      </c>
      <c r="M1" s="23" t="s">
        <v>50</v>
      </c>
      <c r="N1" s="23" t="s">
        <v>50</v>
      </c>
      <c r="O1" s="23" t="s">
        <v>50</v>
      </c>
      <c r="P1" s="23" t="s">
        <v>50</v>
      </c>
      <c r="Q1" s="23" t="s">
        <v>50</v>
      </c>
      <c r="R1" s="23" t="s">
        <v>50</v>
      </c>
      <c r="S1" s="23" t="s">
        <v>50</v>
      </c>
      <c r="T1" s="23" t="s">
        <v>50</v>
      </c>
      <c r="U1" s="23" t="s">
        <v>50</v>
      </c>
      <c r="V1" s="23" t="s">
        <v>50</v>
      </c>
      <c r="W1" s="23" t="s">
        <v>50</v>
      </c>
      <c r="X1" s="24"/>
      <c r="Y1" s="24"/>
    </row>
    <row r="2" spans="1:31">
      <c r="A2" s="24"/>
      <c r="B2" s="24"/>
      <c r="C2" s="43" t="s">
        <v>84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Y2" s="24"/>
    </row>
    <row r="3" spans="1:31">
      <c r="A3" s="24"/>
      <c r="B3" s="24"/>
      <c r="C3" s="45" t="s">
        <v>85</v>
      </c>
      <c r="D3" s="45" t="s">
        <v>86</v>
      </c>
      <c r="E3" s="45" t="s">
        <v>57</v>
      </c>
      <c r="F3" s="45" t="s">
        <v>87</v>
      </c>
      <c r="G3" s="45" t="s">
        <v>59</v>
      </c>
      <c r="H3" s="45" t="s">
        <v>88</v>
      </c>
      <c r="I3" s="168" t="s">
        <v>56</v>
      </c>
      <c r="J3" s="28" t="s">
        <v>89</v>
      </c>
      <c r="K3" s="27" t="s">
        <v>90</v>
      </c>
      <c r="L3" s="28" t="s">
        <v>91</v>
      </c>
      <c r="M3" s="28" t="s">
        <v>92</v>
      </c>
      <c r="N3" s="28" t="s">
        <v>93</v>
      </c>
      <c r="O3" s="28" t="s">
        <v>94</v>
      </c>
      <c r="P3" s="28" t="s">
        <v>95</v>
      </c>
      <c r="Q3" s="28" t="s">
        <v>96</v>
      </c>
      <c r="R3" s="28" t="s">
        <v>97</v>
      </c>
      <c r="S3" s="28" t="s">
        <v>98</v>
      </c>
      <c r="T3" s="28" t="s">
        <v>99</v>
      </c>
      <c r="U3" s="28" t="s">
        <v>100</v>
      </c>
      <c r="V3" s="24"/>
      <c r="W3" s="24"/>
      <c r="X3" s="24"/>
      <c r="Y3" s="24"/>
    </row>
    <row r="4" spans="1:31" ht="15.95">
      <c r="A4" s="166"/>
      <c r="B4" s="46"/>
      <c r="C4" s="50" t="s">
        <v>101</v>
      </c>
      <c r="D4" s="51" t="s">
        <v>102</v>
      </c>
      <c r="E4" s="52" t="s">
        <v>103</v>
      </c>
      <c r="F4" s="31" t="s">
        <v>4</v>
      </c>
      <c r="G4" s="30" t="s">
        <v>65</v>
      </c>
      <c r="H4" s="31" t="s">
        <v>65</v>
      </c>
      <c r="I4" s="169" t="s">
        <v>104</v>
      </c>
      <c r="J4" s="172">
        <v>0</v>
      </c>
      <c r="K4" s="173">
        <v>0.1</v>
      </c>
      <c r="L4" s="174">
        <v>0.2</v>
      </c>
      <c r="M4" s="175">
        <v>0.2</v>
      </c>
      <c r="N4" s="175">
        <v>0.2</v>
      </c>
      <c r="O4" s="175">
        <v>0.2</v>
      </c>
      <c r="P4" s="175">
        <v>0.2</v>
      </c>
      <c r="Q4" s="175">
        <v>0.2</v>
      </c>
      <c r="R4" s="176">
        <v>0.2</v>
      </c>
      <c r="S4" s="176">
        <v>0.2</v>
      </c>
      <c r="T4" s="176">
        <v>0.2</v>
      </c>
      <c r="U4" s="176">
        <v>0.2</v>
      </c>
      <c r="W4" s="24"/>
      <c r="X4" s="24"/>
      <c r="Y4" s="24"/>
    </row>
    <row r="5" spans="1:31">
      <c r="A5" s="24"/>
      <c r="B5" s="24"/>
      <c r="C5" s="50" t="s">
        <v>101</v>
      </c>
      <c r="D5" s="50" t="s">
        <v>102</v>
      </c>
      <c r="E5" s="50" t="s">
        <v>39</v>
      </c>
      <c r="F5" s="50" t="s">
        <v>71</v>
      </c>
      <c r="G5" s="50" t="s">
        <v>105</v>
      </c>
      <c r="H5" s="50" t="s">
        <v>72</v>
      </c>
      <c r="I5" s="170" t="s">
        <v>106</v>
      </c>
      <c r="J5" s="177">
        <v>0</v>
      </c>
      <c r="K5" s="178">
        <v>0</v>
      </c>
      <c r="L5" s="178">
        <v>0.5</v>
      </c>
      <c r="M5" s="178">
        <v>0.5</v>
      </c>
      <c r="N5" s="178">
        <v>0.5</v>
      </c>
      <c r="O5" s="178">
        <v>0.5</v>
      </c>
      <c r="P5" s="178">
        <v>0.5</v>
      </c>
      <c r="Q5" s="178">
        <v>0.5</v>
      </c>
      <c r="R5" s="178">
        <v>0.5</v>
      </c>
      <c r="S5" s="178">
        <v>0.5</v>
      </c>
      <c r="T5" s="178">
        <v>0.5</v>
      </c>
      <c r="U5" s="178">
        <v>0.5</v>
      </c>
      <c r="V5" s="24"/>
      <c r="W5" s="167"/>
      <c r="X5" s="24"/>
      <c r="Y5" s="24"/>
    </row>
    <row r="6" spans="1:31">
      <c r="A6" s="24"/>
      <c r="B6" s="24"/>
      <c r="C6" s="50" t="s">
        <v>101</v>
      </c>
      <c r="D6" s="50" t="s">
        <v>102</v>
      </c>
      <c r="E6" s="50" t="s">
        <v>39</v>
      </c>
      <c r="F6" s="50" t="s">
        <v>107</v>
      </c>
      <c r="G6" s="50" t="s">
        <v>108</v>
      </c>
      <c r="H6" s="50" t="s">
        <v>108</v>
      </c>
      <c r="I6" s="170" t="s">
        <v>109</v>
      </c>
      <c r="J6" s="177">
        <v>0</v>
      </c>
      <c r="K6" s="178">
        <v>0</v>
      </c>
      <c r="L6" s="178">
        <v>1</v>
      </c>
      <c r="M6" s="178">
        <v>1</v>
      </c>
      <c r="N6" s="178">
        <v>0.5</v>
      </c>
      <c r="O6" s="178">
        <v>0.5</v>
      </c>
      <c r="P6" s="178">
        <v>1</v>
      </c>
      <c r="Q6" s="178">
        <v>1</v>
      </c>
      <c r="R6" s="178">
        <v>1</v>
      </c>
      <c r="S6" s="178">
        <v>1</v>
      </c>
      <c r="T6" s="178">
        <v>1</v>
      </c>
      <c r="U6" s="178">
        <v>1</v>
      </c>
      <c r="W6" s="24"/>
      <c r="X6" s="24"/>
      <c r="Y6" s="24"/>
    </row>
    <row r="7" spans="1:31" hidden="1">
      <c r="A7" s="24"/>
      <c r="B7" s="24"/>
      <c r="C7" s="50" t="s">
        <v>101</v>
      </c>
      <c r="D7" s="50" t="s">
        <v>102</v>
      </c>
      <c r="E7" s="50" t="s">
        <v>39</v>
      </c>
      <c r="F7" s="50" t="s">
        <v>110</v>
      </c>
      <c r="G7" s="50" t="e">
        <v>#N/A</v>
      </c>
      <c r="H7" s="50"/>
      <c r="I7" s="170"/>
      <c r="J7" s="177">
        <v>0</v>
      </c>
      <c r="K7" s="178">
        <v>0</v>
      </c>
      <c r="L7" s="178">
        <v>0</v>
      </c>
      <c r="M7" s="178">
        <v>0</v>
      </c>
      <c r="N7" s="178">
        <v>0</v>
      </c>
      <c r="O7" s="178">
        <v>0</v>
      </c>
      <c r="P7" s="178">
        <v>0</v>
      </c>
      <c r="Q7" s="178">
        <v>1</v>
      </c>
      <c r="R7" s="178">
        <v>1</v>
      </c>
      <c r="S7" s="178">
        <v>1</v>
      </c>
      <c r="T7" s="178">
        <v>1</v>
      </c>
      <c r="U7" s="178">
        <v>1</v>
      </c>
      <c r="V7" s="217" t="s">
        <v>111</v>
      </c>
      <c r="W7" s="24"/>
      <c r="X7" s="24"/>
      <c r="Y7" s="24"/>
    </row>
    <row r="8" spans="1:31" hidden="1">
      <c r="A8" s="24"/>
      <c r="B8" s="24"/>
      <c r="C8" s="50" t="s">
        <v>101</v>
      </c>
      <c r="D8" s="50" t="s">
        <v>102</v>
      </c>
      <c r="E8" s="50" t="s">
        <v>112</v>
      </c>
      <c r="F8" s="50" t="s">
        <v>110</v>
      </c>
      <c r="G8" s="50" t="e">
        <v>#N/A</v>
      </c>
      <c r="H8" s="50"/>
      <c r="I8" s="170"/>
      <c r="J8" s="177">
        <v>0</v>
      </c>
      <c r="K8" s="178">
        <v>0</v>
      </c>
      <c r="L8" s="178">
        <v>1</v>
      </c>
      <c r="M8" s="178">
        <v>1</v>
      </c>
      <c r="N8" s="178">
        <v>1</v>
      </c>
      <c r="O8" s="178">
        <v>0</v>
      </c>
      <c r="P8" s="178">
        <v>0</v>
      </c>
      <c r="Q8" s="178">
        <v>0</v>
      </c>
      <c r="R8" s="178">
        <v>0</v>
      </c>
      <c r="S8" s="178">
        <v>0</v>
      </c>
      <c r="T8" s="178">
        <v>0</v>
      </c>
      <c r="U8" s="178">
        <v>0</v>
      </c>
      <c r="W8" s="24"/>
      <c r="X8" s="24"/>
      <c r="Y8" s="24"/>
    </row>
    <row r="9" spans="1:31">
      <c r="A9" s="24"/>
      <c r="B9" s="24"/>
      <c r="C9" s="50" t="s">
        <v>101</v>
      </c>
      <c r="D9" s="50" t="s">
        <v>102</v>
      </c>
      <c r="E9" s="50" t="s">
        <v>67</v>
      </c>
      <c r="F9" s="50" t="s">
        <v>68</v>
      </c>
      <c r="G9" s="50" t="s">
        <v>69</v>
      </c>
      <c r="H9" s="50" t="s">
        <v>69</v>
      </c>
      <c r="I9" s="170" t="s">
        <v>106</v>
      </c>
      <c r="J9" s="177">
        <v>0</v>
      </c>
      <c r="K9" s="178">
        <v>0</v>
      </c>
      <c r="L9" s="178">
        <v>0.2</v>
      </c>
      <c r="M9" s="178">
        <v>0.2</v>
      </c>
      <c r="N9" s="178">
        <v>0</v>
      </c>
      <c r="O9" s="178">
        <v>0</v>
      </c>
      <c r="P9" s="178">
        <v>0</v>
      </c>
      <c r="Q9" s="178">
        <v>0</v>
      </c>
      <c r="R9" s="178">
        <v>0</v>
      </c>
      <c r="S9" s="178">
        <v>0</v>
      </c>
      <c r="T9" s="178">
        <v>0</v>
      </c>
      <c r="U9" s="178">
        <v>0</v>
      </c>
      <c r="W9" s="24"/>
      <c r="X9" s="24"/>
      <c r="Y9" s="24"/>
    </row>
    <row r="10" spans="1:31">
      <c r="A10" s="24"/>
      <c r="B10" s="24"/>
      <c r="C10" s="50" t="s">
        <v>101</v>
      </c>
      <c r="D10" s="50" t="s">
        <v>102</v>
      </c>
      <c r="E10" s="50" t="s">
        <v>44</v>
      </c>
      <c r="F10" s="50" t="s">
        <v>76</v>
      </c>
      <c r="G10" s="50" t="s">
        <v>77</v>
      </c>
      <c r="H10" s="50" t="s">
        <v>77</v>
      </c>
      <c r="I10" s="170" t="s">
        <v>106</v>
      </c>
      <c r="J10" s="177">
        <v>0</v>
      </c>
      <c r="K10" s="178">
        <v>0</v>
      </c>
      <c r="L10" s="178">
        <v>0.2</v>
      </c>
      <c r="M10" s="178">
        <v>0.2</v>
      </c>
      <c r="N10" s="178">
        <v>0.2</v>
      </c>
      <c r="O10" s="178">
        <v>0.2</v>
      </c>
      <c r="P10" s="178">
        <v>0.2</v>
      </c>
      <c r="Q10" s="178">
        <v>0.2</v>
      </c>
      <c r="R10" s="178">
        <v>0.2</v>
      </c>
      <c r="S10" s="178">
        <v>0.2</v>
      </c>
      <c r="T10" s="178">
        <v>0.2</v>
      </c>
      <c r="U10" s="178" t="s">
        <v>113</v>
      </c>
      <c r="W10" s="24"/>
      <c r="X10" s="24"/>
      <c r="Y10" s="24"/>
      <c r="Z10" s="24"/>
      <c r="AA10" s="24"/>
      <c r="AB10" s="24"/>
      <c r="AC10" s="24"/>
      <c r="AD10" s="24"/>
      <c r="AE10" s="24"/>
    </row>
    <row r="11" spans="1:31">
      <c r="A11" s="24"/>
      <c r="B11" s="24"/>
      <c r="C11" s="50" t="s">
        <v>101</v>
      </c>
      <c r="D11" s="50" t="s">
        <v>102</v>
      </c>
      <c r="E11" s="50" t="s">
        <v>114</v>
      </c>
      <c r="F11" s="50" t="s">
        <v>78</v>
      </c>
      <c r="G11" s="50" t="s">
        <v>79</v>
      </c>
      <c r="H11" s="50" t="s">
        <v>79</v>
      </c>
      <c r="I11" s="170" t="s">
        <v>106</v>
      </c>
      <c r="J11" s="179">
        <v>0</v>
      </c>
      <c r="K11" s="180">
        <v>0</v>
      </c>
      <c r="L11" s="180">
        <v>0.1</v>
      </c>
      <c r="M11" s="180">
        <v>0.1</v>
      </c>
      <c r="N11" s="180">
        <v>0</v>
      </c>
      <c r="O11" s="180">
        <v>0.05</v>
      </c>
      <c r="P11" s="180">
        <v>0.05</v>
      </c>
      <c r="Q11" s="180">
        <v>0.05</v>
      </c>
      <c r="R11" s="180">
        <v>0.05</v>
      </c>
      <c r="S11" s="180">
        <v>0.05</v>
      </c>
      <c r="T11" s="180">
        <v>0.05</v>
      </c>
      <c r="U11" s="180" t="s">
        <v>115</v>
      </c>
      <c r="W11" s="24"/>
      <c r="X11" s="24"/>
      <c r="Y11" s="24"/>
      <c r="Z11" s="24"/>
      <c r="AA11" s="24"/>
      <c r="AB11" s="24"/>
      <c r="AC11" s="24"/>
      <c r="AD11" s="24"/>
      <c r="AE11" s="24"/>
    </row>
    <row r="12" spans="1:31">
      <c r="A12" s="24"/>
      <c r="B12" s="24"/>
      <c r="C12" s="24"/>
      <c r="D12" s="24"/>
      <c r="E12" s="24"/>
      <c r="F12" s="24"/>
      <c r="G12" s="24"/>
      <c r="I12" s="24"/>
      <c r="J12" s="171">
        <f>SUM(J4:J11)</f>
        <v>0</v>
      </c>
      <c r="K12" s="171">
        <f>SUM(K4:K11)</f>
        <v>0.1</v>
      </c>
      <c r="L12" s="171">
        <f t="shared" ref="L12:U12" si="0">SUM(L4:L11)</f>
        <v>3.2000000000000006</v>
      </c>
      <c r="M12" s="171">
        <f t="shared" si="0"/>
        <v>3.2000000000000006</v>
      </c>
      <c r="N12" s="171">
        <f t="shared" si="0"/>
        <v>2.4000000000000004</v>
      </c>
      <c r="O12" s="171">
        <f t="shared" si="0"/>
        <v>1.45</v>
      </c>
      <c r="P12" s="171">
        <f t="shared" si="0"/>
        <v>1.95</v>
      </c>
      <c r="Q12" s="171">
        <f t="shared" si="0"/>
        <v>2.95</v>
      </c>
      <c r="R12" s="171">
        <f t="shared" si="0"/>
        <v>2.95</v>
      </c>
      <c r="S12" s="171">
        <f t="shared" si="0"/>
        <v>2.95</v>
      </c>
      <c r="T12" s="171">
        <f t="shared" si="0"/>
        <v>2.95</v>
      </c>
      <c r="U12" s="171">
        <f t="shared" si="0"/>
        <v>2.7</v>
      </c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 spans="1:31" ht="24">
      <c r="A13" s="24"/>
      <c r="B13" s="24"/>
      <c r="C13" s="120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 spans="1:3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 spans="1:3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 spans="1:3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 spans="1:3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 spans="1:3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 spans="1:3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</row>
    <row r="20" spans="1:3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1" spans="1:3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</row>
    <row r="22" spans="1:3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</row>
    <row r="23" spans="1:3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</row>
    <row r="24" spans="1:3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</row>
    <row r="25" spans="1:3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</row>
    <row r="26" spans="1:3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</row>
    <row r="27" spans="1:3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</row>
    <row r="28" spans="1:3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</row>
    <row r="29" spans="1:3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</row>
    <row r="31" spans="1: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</row>
    <row r="32" spans="1:3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</row>
    <row r="33" spans="1: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spans="1: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spans="1: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spans="1: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spans="1: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spans="1:2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spans="1: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spans="1: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spans="1: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spans="1:2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1: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1: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spans="1: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spans="1: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spans="1: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1:2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spans="1: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spans="1: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1: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spans="1: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spans="1: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spans="1: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spans="1: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spans="1: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spans="1: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spans="1: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spans="1: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spans="1: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spans="1: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spans="1: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spans="1: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spans="1: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spans="1: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spans="1: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spans="1: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spans="1:2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spans="1: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spans="1: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spans="1:2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spans="1:2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spans="1:2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spans="1:2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spans="1:2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spans="1:2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spans="1:2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spans="1:2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</sheetData>
  <autoFilter ref="A3:AE3" xr:uid="{5E6FF015-6D77-4827-B783-5F057AF6A9B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F015-6D77-4827-B783-5F057AF6A9B0}">
  <sheetPr>
    <tabColor rgb="FF00B050"/>
  </sheetPr>
  <dimension ref="A1:AE78"/>
  <sheetViews>
    <sheetView showGridLines="0" topLeftCell="C1" workbookViewId="0">
      <selection activeCell="A8" sqref="A8:XFD8"/>
    </sheetView>
  </sheetViews>
  <sheetFormatPr defaultColWidth="8.85546875" defaultRowHeight="15"/>
  <cols>
    <col min="1" max="1" width="0" hidden="1" customWidth="1"/>
    <col min="2" max="2" width="17" hidden="1" customWidth="1"/>
    <col min="3" max="3" width="45.28515625" customWidth="1"/>
    <col min="4" max="4" width="17.42578125" customWidth="1"/>
    <col min="5" max="5" width="22.42578125" customWidth="1"/>
    <col min="6" max="6" width="21.140625" customWidth="1"/>
    <col min="7" max="7" width="9.140625" customWidth="1"/>
    <col min="8" max="8" width="14.140625" customWidth="1"/>
    <col min="9" max="9" width="9.28515625" customWidth="1"/>
    <col min="10" max="11" width="6.42578125" customWidth="1"/>
    <col min="12" max="12" width="5.85546875" bestFit="1" customWidth="1"/>
    <col min="13" max="13" width="6" bestFit="1" customWidth="1"/>
    <col min="14" max="14" width="6.140625" bestFit="1" customWidth="1"/>
    <col min="15" max="15" width="5.85546875" bestFit="1" customWidth="1"/>
    <col min="16" max="16" width="6.28515625" bestFit="1" customWidth="1"/>
    <col min="17" max="17" width="5.85546875" bestFit="1" customWidth="1"/>
    <col min="18" max="19" width="6" bestFit="1" customWidth="1"/>
    <col min="20" max="20" width="6.140625" bestFit="1" customWidth="1"/>
    <col min="21" max="21" width="6" bestFit="1" customWidth="1"/>
  </cols>
  <sheetData>
    <row r="1" spans="1:31" ht="24">
      <c r="A1" s="22"/>
      <c r="B1" s="22"/>
      <c r="C1" s="23" t="s">
        <v>50</v>
      </c>
      <c r="D1" s="23" t="s">
        <v>50</v>
      </c>
      <c r="E1" s="23" t="s">
        <v>50</v>
      </c>
      <c r="F1" s="23" t="s">
        <v>50</v>
      </c>
      <c r="G1" s="23" t="s">
        <v>50</v>
      </c>
      <c r="H1" s="23" t="s">
        <v>50</v>
      </c>
      <c r="I1" s="23" t="s">
        <v>50</v>
      </c>
      <c r="J1" s="23" t="s">
        <v>50</v>
      </c>
      <c r="K1" s="23" t="s">
        <v>50</v>
      </c>
      <c r="L1" s="23" t="s">
        <v>50</v>
      </c>
      <c r="M1" s="23" t="s">
        <v>50</v>
      </c>
      <c r="N1" s="23" t="s">
        <v>50</v>
      </c>
      <c r="O1" s="23" t="s">
        <v>50</v>
      </c>
      <c r="P1" s="23" t="s">
        <v>50</v>
      </c>
      <c r="Q1" s="23" t="s">
        <v>50</v>
      </c>
      <c r="R1" s="23" t="s">
        <v>50</v>
      </c>
      <c r="S1" s="23" t="s">
        <v>50</v>
      </c>
      <c r="T1" s="23" t="s">
        <v>50</v>
      </c>
      <c r="U1" s="23" t="s">
        <v>50</v>
      </c>
      <c r="V1" s="23" t="s">
        <v>50</v>
      </c>
      <c r="W1" s="23" t="s">
        <v>50</v>
      </c>
      <c r="X1" s="24"/>
      <c r="Y1" s="24"/>
    </row>
    <row r="2" spans="1:31">
      <c r="A2" s="24"/>
      <c r="B2" s="24"/>
      <c r="C2" s="43" t="s">
        <v>134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Y2" s="24"/>
    </row>
    <row r="3" spans="1:31">
      <c r="A3" s="24"/>
      <c r="B3" s="24"/>
      <c r="C3" s="45" t="s">
        <v>85</v>
      </c>
      <c r="D3" s="45" t="s">
        <v>86</v>
      </c>
      <c r="E3" s="45" t="s">
        <v>57</v>
      </c>
      <c r="F3" s="45" t="s">
        <v>87</v>
      </c>
      <c r="G3" s="45" t="s">
        <v>59</v>
      </c>
      <c r="H3" s="45" t="s">
        <v>88</v>
      </c>
      <c r="I3" s="168" t="s">
        <v>56</v>
      </c>
      <c r="J3" s="28" t="s">
        <v>89</v>
      </c>
      <c r="K3" s="27" t="s">
        <v>90</v>
      </c>
      <c r="L3" s="28" t="s">
        <v>91</v>
      </c>
      <c r="M3" s="28" t="s">
        <v>92</v>
      </c>
      <c r="N3" s="28" t="s">
        <v>93</v>
      </c>
      <c r="O3" s="28" t="s">
        <v>94</v>
      </c>
      <c r="P3" s="28" t="s">
        <v>95</v>
      </c>
      <c r="Q3" s="28" t="s">
        <v>96</v>
      </c>
      <c r="R3" s="28" t="s">
        <v>97</v>
      </c>
      <c r="S3" s="28" t="s">
        <v>98</v>
      </c>
      <c r="T3" s="28" t="s">
        <v>99</v>
      </c>
      <c r="U3" s="28" t="s">
        <v>100</v>
      </c>
      <c r="V3" s="24"/>
      <c r="W3" s="24"/>
      <c r="X3" s="24"/>
      <c r="Y3" s="24"/>
    </row>
    <row r="4" spans="1:31" ht="15.95">
      <c r="A4" s="166"/>
      <c r="B4" s="46"/>
      <c r="C4" s="50" t="s">
        <v>101</v>
      </c>
      <c r="D4" s="51" t="s">
        <v>102</v>
      </c>
      <c r="E4" s="52" t="s">
        <v>103</v>
      </c>
      <c r="F4" s="31" t="s">
        <v>4</v>
      </c>
      <c r="G4" s="30" t="s">
        <v>65</v>
      </c>
      <c r="H4" s="31" t="s">
        <v>65</v>
      </c>
      <c r="I4" s="169" t="s">
        <v>104</v>
      </c>
      <c r="J4" s="172">
        <v>0</v>
      </c>
      <c r="K4" s="173">
        <v>0.1</v>
      </c>
      <c r="L4" s="174">
        <v>0.2</v>
      </c>
      <c r="M4" s="175">
        <v>0.2</v>
      </c>
      <c r="N4" s="175">
        <v>0.2</v>
      </c>
      <c r="O4" s="175">
        <v>0.2</v>
      </c>
      <c r="P4" s="175">
        <v>0.2</v>
      </c>
      <c r="Q4" s="175">
        <v>0.2</v>
      </c>
      <c r="R4" s="176">
        <v>0.2</v>
      </c>
      <c r="S4" s="176">
        <v>0.2</v>
      </c>
      <c r="T4" s="176">
        <v>0.2</v>
      </c>
      <c r="U4" s="176">
        <v>0.2</v>
      </c>
      <c r="W4" s="24"/>
      <c r="X4" s="24"/>
      <c r="Y4" s="24"/>
    </row>
    <row r="5" spans="1:31">
      <c r="A5" s="24"/>
      <c r="B5" s="24"/>
      <c r="C5" s="50" t="s">
        <v>101</v>
      </c>
      <c r="D5" s="50" t="s">
        <v>102</v>
      </c>
      <c r="E5" s="50" t="s">
        <v>39</v>
      </c>
      <c r="F5" s="50" t="s">
        <v>71</v>
      </c>
      <c r="G5" s="50" t="s">
        <v>105</v>
      </c>
      <c r="H5" s="50" t="s">
        <v>72</v>
      </c>
      <c r="I5" s="170" t="s">
        <v>106</v>
      </c>
      <c r="J5" s="177">
        <v>0</v>
      </c>
      <c r="K5" s="178">
        <v>0</v>
      </c>
      <c r="L5" s="178">
        <v>0.5</v>
      </c>
      <c r="M5" s="178">
        <v>0.5</v>
      </c>
      <c r="N5" s="178">
        <v>0.5</v>
      </c>
      <c r="O5" s="178">
        <v>0.5</v>
      </c>
      <c r="P5" s="178">
        <v>0.5</v>
      </c>
      <c r="Q5" s="178">
        <v>0.5</v>
      </c>
      <c r="R5" s="178">
        <v>0.5</v>
      </c>
      <c r="S5" s="178">
        <v>0.5</v>
      </c>
      <c r="T5" s="178">
        <v>0.5</v>
      </c>
      <c r="U5" s="178">
        <v>0.5</v>
      </c>
      <c r="V5" s="24"/>
      <c r="W5" s="167"/>
      <c r="X5" s="24"/>
      <c r="Y5" s="24"/>
    </row>
    <row r="6" spans="1:31">
      <c r="A6" s="24"/>
      <c r="B6" s="24"/>
      <c r="C6" s="50" t="s">
        <v>101</v>
      </c>
      <c r="D6" s="50" t="s">
        <v>102</v>
      </c>
      <c r="E6" s="50" t="s">
        <v>39</v>
      </c>
      <c r="F6" s="50" t="s">
        <v>107</v>
      </c>
      <c r="G6" s="50" t="s">
        <v>108</v>
      </c>
      <c r="H6" s="50" t="s">
        <v>108</v>
      </c>
      <c r="I6" s="170" t="s">
        <v>109</v>
      </c>
      <c r="J6" s="177">
        <v>0</v>
      </c>
      <c r="K6" s="178">
        <v>0</v>
      </c>
      <c r="L6" s="178">
        <v>1</v>
      </c>
      <c r="M6" s="178">
        <v>1</v>
      </c>
      <c r="N6" s="178">
        <v>1</v>
      </c>
      <c r="O6" s="178">
        <v>1</v>
      </c>
      <c r="P6" s="178">
        <v>1</v>
      </c>
      <c r="Q6" s="178">
        <v>1</v>
      </c>
      <c r="R6" s="178">
        <v>1</v>
      </c>
      <c r="S6" s="178">
        <v>1</v>
      </c>
      <c r="T6" s="178">
        <v>1</v>
      </c>
      <c r="U6" s="178">
        <v>1</v>
      </c>
      <c r="W6" s="24"/>
      <c r="X6" s="24"/>
      <c r="Y6" s="24"/>
    </row>
    <row r="7" spans="1:31">
      <c r="A7" s="24"/>
      <c r="B7" s="24"/>
      <c r="C7" s="50" t="s">
        <v>101</v>
      </c>
      <c r="D7" s="50" t="s">
        <v>102</v>
      </c>
      <c r="E7" s="50" t="s">
        <v>39</v>
      </c>
      <c r="F7" s="50" t="s">
        <v>110</v>
      </c>
      <c r="G7" s="50" t="e">
        <v>#N/A</v>
      </c>
      <c r="H7" s="50"/>
      <c r="I7" s="170"/>
      <c r="J7" s="177">
        <v>0</v>
      </c>
      <c r="K7" s="178">
        <v>0</v>
      </c>
      <c r="L7" s="178">
        <v>0</v>
      </c>
      <c r="M7" s="178">
        <v>0</v>
      </c>
      <c r="N7" s="178">
        <v>0</v>
      </c>
      <c r="O7" s="178">
        <v>0</v>
      </c>
      <c r="P7" s="178">
        <v>0</v>
      </c>
      <c r="Q7" s="178">
        <v>1</v>
      </c>
      <c r="R7" s="178">
        <v>1</v>
      </c>
      <c r="S7" s="178">
        <v>1</v>
      </c>
      <c r="T7" s="178">
        <v>1</v>
      </c>
      <c r="U7" s="178">
        <v>1</v>
      </c>
      <c r="W7" s="24"/>
      <c r="X7" s="24"/>
      <c r="Y7" s="24"/>
    </row>
    <row r="8" spans="1:31">
      <c r="A8" s="24"/>
      <c r="B8" s="24"/>
      <c r="C8" s="50" t="s">
        <v>101</v>
      </c>
      <c r="D8" s="50" t="s">
        <v>102</v>
      </c>
      <c r="E8" s="50" t="s">
        <v>112</v>
      </c>
      <c r="F8" s="50" t="s">
        <v>110</v>
      </c>
      <c r="G8" s="50" t="e">
        <v>#N/A</v>
      </c>
      <c r="H8" s="50"/>
      <c r="I8" s="170"/>
      <c r="J8" s="177">
        <v>0</v>
      </c>
      <c r="K8" s="178">
        <v>0</v>
      </c>
      <c r="L8" s="178">
        <v>1</v>
      </c>
      <c r="M8" s="178">
        <v>1</v>
      </c>
      <c r="N8" s="178">
        <v>1</v>
      </c>
      <c r="O8" s="178">
        <v>0</v>
      </c>
      <c r="P8" s="178">
        <v>0</v>
      </c>
      <c r="Q8" s="178">
        <v>0</v>
      </c>
      <c r="R8" s="178">
        <v>0</v>
      </c>
      <c r="S8" s="178">
        <v>0</v>
      </c>
      <c r="T8" s="178">
        <v>0</v>
      </c>
      <c r="U8" s="178">
        <v>0</v>
      </c>
      <c r="W8" s="24"/>
      <c r="X8" s="24"/>
      <c r="Y8" s="24"/>
    </row>
    <row r="9" spans="1:31">
      <c r="A9" s="24"/>
      <c r="B9" s="24"/>
      <c r="C9" s="50" t="s">
        <v>101</v>
      </c>
      <c r="D9" s="50" t="s">
        <v>102</v>
      </c>
      <c r="E9" s="50" t="s">
        <v>67</v>
      </c>
      <c r="F9" s="50" t="s">
        <v>68</v>
      </c>
      <c r="G9" s="50" t="s">
        <v>69</v>
      </c>
      <c r="H9" s="50" t="s">
        <v>69</v>
      </c>
      <c r="I9" s="170" t="s">
        <v>106</v>
      </c>
      <c r="J9" s="177">
        <v>0</v>
      </c>
      <c r="K9" s="178">
        <v>0</v>
      </c>
      <c r="L9" s="178">
        <v>0.2</v>
      </c>
      <c r="M9" s="178">
        <v>0.2</v>
      </c>
      <c r="N9" s="178">
        <v>0</v>
      </c>
      <c r="O9" s="178">
        <v>0</v>
      </c>
      <c r="P9" s="178">
        <v>0</v>
      </c>
      <c r="Q9" s="178">
        <v>0</v>
      </c>
      <c r="R9" s="178">
        <v>0</v>
      </c>
      <c r="S9" s="178">
        <v>0</v>
      </c>
      <c r="T9" s="178">
        <v>0</v>
      </c>
      <c r="U9" s="178">
        <v>0</v>
      </c>
      <c r="W9" s="24"/>
      <c r="X9" s="24"/>
      <c r="Y9" s="24"/>
    </row>
    <row r="10" spans="1:31">
      <c r="A10" s="24"/>
      <c r="B10" s="24"/>
      <c r="C10" s="50" t="s">
        <v>101</v>
      </c>
      <c r="D10" s="50" t="s">
        <v>102</v>
      </c>
      <c r="E10" s="50" t="s">
        <v>44</v>
      </c>
      <c r="F10" s="50" t="s">
        <v>76</v>
      </c>
      <c r="G10" s="50" t="s">
        <v>77</v>
      </c>
      <c r="H10" s="50" t="s">
        <v>77</v>
      </c>
      <c r="I10" s="170" t="s">
        <v>106</v>
      </c>
      <c r="J10" s="177">
        <v>0</v>
      </c>
      <c r="K10" s="178">
        <v>0.2</v>
      </c>
      <c r="L10" s="178">
        <v>0.2</v>
      </c>
      <c r="M10" s="178">
        <v>0.2</v>
      </c>
      <c r="N10" s="178">
        <v>0.2</v>
      </c>
      <c r="O10" s="178">
        <v>0.2</v>
      </c>
      <c r="P10" s="178">
        <v>0.2</v>
      </c>
      <c r="Q10" s="178">
        <v>0.2</v>
      </c>
      <c r="R10" s="178">
        <v>0.2</v>
      </c>
      <c r="S10" s="178">
        <v>0.2</v>
      </c>
      <c r="T10" s="178">
        <v>0.2</v>
      </c>
      <c r="U10" s="178" t="s">
        <v>113</v>
      </c>
      <c r="W10" s="24"/>
      <c r="X10" s="24"/>
      <c r="Y10" s="24"/>
      <c r="Z10" s="24"/>
      <c r="AA10" s="24"/>
      <c r="AB10" s="24"/>
      <c r="AC10" s="24"/>
      <c r="AD10" s="24"/>
      <c r="AE10" s="24"/>
    </row>
    <row r="11" spans="1:31">
      <c r="A11" s="24"/>
      <c r="B11" s="24"/>
      <c r="C11" s="50" t="s">
        <v>101</v>
      </c>
      <c r="D11" s="50" t="s">
        <v>102</v>
      </c>
      <c r="E11" s="50" t="s">
        <v>114</v>
      </c>
      <c r="F11" s="50" t="s">
        <v>78</v>
      </c>
      <c r="G11" s="50" t="s">
        <v>79</v>
      </c>
      <c r="H11" s="50" t="s">
        <v>79</v>
      </c>
      <c r="I11" s="170" t="s">
        <v>106</v>
      </c>
      <c r="J11" s="179">
        <v>0</v>
      </c>
      <c r="K11" s="180">
        <v>0</v>
      </c>
      <c r="L11" s="180">
        <v>0.1</v>
      </c>
      <c r="M11" s="180">
        <v>0.1</v>
      </c>
      <c r="N11" s="180">
        <v>0</v>
      </c>
      <c r="O11" s="180">
        <v>0.05</v>
      </c>
      <c r="P11" s="180">
        <v>0.05</v>
      </c>
      <c r="Q11" s="180">
        <v>0.05</v>
      </c>
      <c r="R11" s="180">
        <v>0.05</v>
      </c>
      <c r="S11" s="180">
        <v>0.05</v>
      </c>
      <c r="T11" s="180">
        <v>0.05</v>
      </c>
      <c r="U11" s="180" t="s">
        <v>115</v>
      </c>
      <c r="W11" s="24"/>
      <c r="X11" s="24"/>
      <c r="Y11" s="24"/>
      <c r="Z11" s="24"/>
      <c r="AA11" s="24"/>
      <c r="AB11" s="24"/>
      <c r="AC11" s="24"/>
      <c r="AD11" s="24"/>
      <c r="AE11" s="24"/>
    </row>
    <row r="12" spans="1:31">
      <c r="A12" s="24"/>
      <c r="B12" s="24"/>
      <c r="C12" s="24"/>
      <c r="D12" s="24"/>
      <c r="E12" s="24"/>
      <c r="F12" s="24"/>
      <c r="G12" s="24"/>
      <c r="I12" s="24"/>
      <c r="J12" s="171">
        <f>SUM(J4:J11)</f>
        <v>0</v>
      </c>
      <c r="K12" s="171">
        <f>SUM(K4:K11)</f>
        <v>0.30000000000000004</v>
      </c>
      <c r="L12" s="171">
        <f t="shared" ref="L12:U12" si="0">SUM(L4:L11)</f>
        <v>3.2000000000000006</v>
      </c>
      <c r="M12" s="171">
        <f t="shared" si="0"/>
        <v>3.2000000000000006</v>
      </c>
      <c r="N12" s="171">
        <f t="shared" si="0"/>
        <v>2.9000000000000004</v>
      </c>
      <c r="O12" s="171">
        <f t="shared" si="0"/>
        <v>1.95</v>
      </c>
      <c r="P12" s="171">
        <f t="shared" si="0"/>
        <v>1.95</v>
      </c>
      <c r="Q12" s="171">
        <f t="shared" si="0"/>
        <v>2.95</v>
      </c>
      <c r="R12" s="171">
        <f t="shared" si="0"/>
        <v>2.95</v>
      </c>
      <c r="S12" s="171">
        <f t="shared" si="0"/>
        <v>2.95</v>
      </c>
      <c r="T12" s="171">
        <f t="shared" si="0"/>
        <v>2.95</v>
      </c>
      <c r="U12" s="171">
        <f t="shared" si="0"/>
        <v>2.7</v>
      </c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 spans="1:31" ht="24">
      <c r="A13" s="24"/>
      <c r="B13" s="24"/>
      <c r="C13" s="120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 spans="1:3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 spans="1:3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 spans="1:3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 spans="1:3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 spans="1:3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 spans="1:3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</row>
    <row r="20" spans="1:3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1" spans="1:3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</row>
    <row r="22" spans="1:3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</row>
    <row r="23" spans="1:3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</row>
    <row r="24" spans="1:3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</row>
    <row r="25" spans="1:3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</row>
    <row r="26" spans="1:3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</row>
    <row r="27" spans="1:3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</row>
    <row r="28" spans="1:3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</row>
    <row r="29" spans="1:3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</row>
    <row r="31" spans="1: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</row>
    <row r="32" spans="1:3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</row>
    <row r="33" spans="1: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spans="1: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spans="1: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spans="1: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spans="1: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spans="1:2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spans="1: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spans="1: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spans="1: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spans="1:2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1: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1: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spans="1: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spans="1: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spans="1: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1:2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spans="1: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spans="1: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1: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spans="1: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spans="1: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spans="1: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spans="1: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spans="1: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spans="1: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spans="1: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spans="1: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spans="1: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spans="1: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spans="1: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spans="1: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spans="1: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spans="1: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spans="1: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spans="1: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spans="1:2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spans="1: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spans="1: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spans="1:2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spans="1:2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spans="1:2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spans="1:2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spans="1:2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spans="1:2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spans="1:2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spans="1:2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</sheetData>
  <autoFilter ref="A3:AE3" xr:uid="{5E6FF015-6D77-4827-B783-5F057AF6A9B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2BDED-D1C4-4B4F-B802-27A6EE3505E4}">
  <sheetPr>
    <tabColor rgb="FF00B050"/>
  </sheetPr>
  <dimension ref="A1:BE38"/>
  <sheetViews>
    <sheetView showGridLines="0" workbookViewId="0">
      <selection activeCell="A22" sqref="A22"/>
    </sheetView>
  </sheetViews>
  <sheetFormatPr defaultColWidth="8.85546875" defaultRowHeight="15"/>
  <cols>
    <col min="1" max="1" width="34.42578125" customWidth="1"/>
    <col min="2" max="2" width="47.7109375" customWidth="1"/>
    <col min="3" max="3" width="21.140625" customWidth="1"/>
    <col min="4" max="4" width="17" bestFit="1" customWidth="1"/>
    <col min="5" max="5" width="15.140625" customWidth="1"/>
    <col min="6" max="57" width="5.7109375" customWidth="1"/>
  </cols>
  <sheetData>
    <row r="1" spans="1:57" ht="18.95">
      <c r="A1" s="109" t="s">
        <v>135</v>
      </c>
      <c r="B1" s="110" t="s">
        <v>136</v>
      </c>
      <c r="C1" s="118" t="s">
        <v>137</v>
      </c>
      <c r="D1" s="117">
        <v>46023</v>
      </c>
      <c r="F1" s="119" t="s">
        <v>138</v>
      </c>
      <c r="G1" s="281">
        <v>46027</v>
      </c>
      <c r="H1" s="281"/>
    </row>
    <row r="2" spans="1:57" ht="18.95">
      <c r="A2" s="109" t="s">
        <v>139</v>
      </c>
      <c r="B2" s="110" t="s">
        <v>136</v>
      </c>
      <c r="C2" s="118" t="s">
        <v>140</v>
      </c>
      <c r="D2" s="117">
        <v>46357</v>
      </c>
      <c r="F2" s="125" t="s">
        <v>141</v>
      </c>
      <c r="G2" s="282"/>
      <c r="H2" s="282"/>
      <c r="I2" s="130" t="s">
        <v>142</v>
      </c>
      <c r="J2" s="129" t="s">
        <v>143</v>
      </c>
      <c r="N2" s="111"/>
    </row>
    <row r="3" spans="1:57">
      <c r="F3" s="283" t="s">
        <v>144</v>
      </c>
      <c r="G3" s="284"/>
      <c r="H3" s="284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4"/>
      <c r="AP3" s="284"/>
      <c r="AQ3" s="284"/>
      <c r="AR3" s="284"/>
      <c r="AS3" s="284"/>
      <c r="AT3" s="284"/>
      <c r="AU3" s="284"/>
      <c r="AV3" s="284"/>
      <c r="AW3" s="284"/>
      <c r="AX3" s="284"/>
      <c r="AY3" s="284"/>
      <c r="AZ3" s="284"/>
      <c r="BA3" s="284"/>
      <c r="BB3" s="284"/>
      <c r="BC3" s="284"/>
      <c r="BD3" s="284"/>
      <c r="BE3" s="285"/>
    </row>
    <row r="4" spans="1:57">
      <c r="F4" s="286">
        <v>46037</v>
      </c>
      <c r="G4" s="287"/>
      <c r="H4" s="287"/>
      <c r="I4" s="288"/>
      <c r="J4" s="287">
        <f>M5</f>
        <v>46076</v>
      </c>
      <c r="K4" s="287"/>
      <c r="L4" s="287"/>
      <c r="M4" s="289"/>
      <c r="N4" s="290">
        <f>R5</f>
        <v>46111</v>
      </c>
      <c r="O4" s="287"/>
      <c r="P4" s="287"/>
      <c r="Q4" s="287"/>
      <c r="R4" s="289"/>
      <c r="S4" s="290">
        <f>V5</f>
        <v>46139</v>
      </c>
      <c r="T4" s="287"/>
      <c r="U4" s="287"/>
      <c r="V4" s="289"/>
      <c r="W4" s="290">
        <f>Z5</f>
        <v>46167</v>
      </c>
      <c r="X4" s="287"/>
      <c r="Y4" s="287"/>
      <c r="Z4" s="289"/>
      <c r="AA4" s="290">
        <f>AE5</f>
        <v>46202</v>
      </c>
      <c r="AB4" s="287"/>
      <c r="AC4" s="287"/>
      <c r="AD4" s="287"/>
      <c r="AE4" s="289"/>
      <c r="AF4" s="290">
        <f>AI5</f>
        <v>46230</v>
      </c>
      <c r="AG4" s="287"/>
      <c r="AH4" s="287"/>
      <c r="AI4" s="289"/>
      <c r="AJ4" s="290">
        <f>AN5</f>
        <v>46265</v>
      </c>
      <c r="AK4" s="287"/>
      <c r="AL4" s="287"/>
      <c r="AM4" s="287"/>
      <c r="AN4" s="289"/>
      <c r="AO4" s="290">
        <f>AR5</f>
        <v>46293</v>
      </c>
      <c r="AP4" s="287"/>
      <c r="AQ4" s="287"/>
      <c r="AR4" s="289"/>
      <c r="AS4" s="290">
        <f>AV5</f>
        <v>46321</v>
      </c>
      <c r="AT4" s="287"/>
      <c r="AU4" s="287"/>
      <c r="AV4" s="289"/>
      <c r="AW4" s="290">
        <f>BA5</f>
        <v>46356</v>
      </c>
      <c r="AX4" s="287"/>
      <c r="AY4" s="287"/>
      <c r="AZ4" s="287"/>
      <c r="BA4" s="289"/>
      <c r="BB4" s="290">
        <f>BE5</f>
        <v>46384</v>
      </c>
      <c r="BC4" s="287"/>
      <c r="BD4" s="287"/>
      <c r="BE4" s="289"/>
    </row>
    <row r="5" spans="1:57" ht="18.95">
      <c r="A5" s="64" t="s">
        <v>145</v>
      </c>
      <c r="B5" s="85"/>
      <c r="F5" s="58">
        <f>G1</f>
        <v>46027</v>
      </c>
      <c r="G5" s="59">
        <f t="shared" ref="G5:AL5" si="0">F5+7</f>
        <v>46034</v>
      </c>
      <c r="H5" s="59">
        <f t="shared" si="0"/>
        <v>46041</v>
      </c>
      <c r="I5" s="60">
        <f t="shared" si="0"/>
        <v>46048</v>
      </c>
      <c r="J5" s="61">
        <f t="shared" si="0"/>
        <v>46055</v>
      </c>
      <c r="K5" s="59">
        <f t="shared" si="0"/>
        <v>46062</v>
      </c>
      <c r="L5" s="59">
        <f t="shared" si="0"/>
        <v>46069</v>
      </c>
      <c r="M5" s="62">
        <f t="shared" si="0"/>
        <v>46076</v>
      </c>
      <c r="N5" s="61">
        <f t="shared" si="0"/>
        <v>46083</v>
      </c>
      <c r="O5" s="59">
        <f t="shared" si="0"/>
        <v>46090</v>
      </c>
      <c r="P5" s="59">
        <f t="shared" si="0"/>
        <v>46097</v>
      </c>
      <c r="Q5" s="59">
        <f t="shared" si="0"/>
        <v>46104</v>
      </c>
      <c r="R5" s="62">
        <f t="shared" si="0"/>
        <v>46111</v>
      </c>
      <c r="S5" s="61">
        <f t="shared" si="0"/>
        <v>46118</v>
      </c>
      <c r="T5" s="59">
        <f t="shared" si="0"/>
        <v>46125</v>
      </c>
      <c r="U5" s="59">
        <f t="shared" si="0"/>
        <v>46132</v>
      </c>
      <c r="V5" s="62">
        <f t="shared" si="0"/>
        <v>46139</v>
      </c>
      <c r="W5" s="61">
        <f t="shared" si="0"/>
        <v>46146</v>
      </c>
      <c r="X5" s="59">
        <f t="shared" si="0"/>
        <v>46153</v>
      </c>
      <c r="Y5" s="59">
        <f t="shared" si="0"/>
        <v>46160</v>
      </c>
      <c r="Z5" s="62">
        <f t="shared" si="0"/>
        <v>46167</v>
      </c>
      <c r="AA5" s="61">
        <f t="shared" si="0"/>
        <v>46174</v>
      </c>
      <c r="AB5" s="59">
        <f t="shared" si="0"/>
        <v>46181</v>
      </c>
      <c r="AC5" s="59">
        <f t="shared" si="0"/>
        <v>46188</v>
      </c>
      <c r="AD5" s="59">
        <f t="shared" si="0"/>
        <v>46195</v>
      </c>
      <c r="AE5" s="62">
        <f t="shared" si="0"/>
        <v>46202</v>
      </c>
      <c r="AF5" s="61">
        <f t="shared" si="0"/>
        <v>46209</v>
      </c>
      <c r="AG5" s="59">
        <f t="shared" si="0"/>
        <v>46216</v>
      </c>
      <c r="AH5" s="59">
        <f t="shared" si="0"/>
        <v>46223</v>
      </c>
      <c r="AI5" s="62">
        <f t="shared" si="0"/>
        <v>46230</v>
      </c>
      <c r="AJ5" s="61">
        <f t="shared" si="0"/>
        <v>46237</v>
      </c>
      <c r="AK5" s="59">
        <f t="shared" si="0"/>
        <v>46244</v>
      </c>
      <c r="AL5" s="59">
        <f t="shared" si="0"/>
        <v>46251</v>
      </c>
      <c r="AM5" s="59">
        <f t="shared" ref="AM5:BE5" si="1">AL5+7</f>
        <v>46258</v>
      </c>
      <c r="AN5" s="62">
        <f t="shared" si="1"/>
        <v>46265</v>
      </c>
      <c r="AO5" s="61">
        <f t="shared" si="1"/>
        <v>46272</v>
      </c>
      <c r="AP5" s="59">
        <f t="shared" si="1"/>
        <v>46279</v>
      </c>
      <c r="AQ5" s="59">
        <f t="shared" si="1"/>
        <v>46286</v>
      </c>
      <c r="AR5" s="62">
        <f t="shared" si="1"/>
        <v>46293</v>
      </c>
      <c r="AS5" s="61">
        <f t="shared" si="1"/>
        <v>46300</v>
      </c>
      <c r="AT5" s="59">
        <f t="shared" si="1"/>
        <v>46307</v>
      </c>
      <c r="AU5" s="59">
        <f t="shared" si="1"/>
        <v>46314</v>
      </c>
      <c r="AV5" s="62">
        <f t="shared" si="1"/>
        <v>46321</v>
      </c>
      <c r="AW5" s="61">
        <f t="shared" si="1"/>
        <v>46328</v>
      </c>
      <c r="AX5" s="59">
        <f t="shared" si="1"/>
        <v>46335</v>
      </c>
      <c r="AY5" s="59">
        <f t="shared" si="1"/>
        <v>46342</v>
      </c>
      <c r="AZ5" s="59">
        <f t="shared" si="1"/>
        <v>46349</v>
      </c>
      <c r="BA5" s="62">
        <f t="shared" si="1"/>
        <v>46356</v>
      </c>
      <c r="BB5" s="61">
        <f t="shared" si="1"/>
        <v>46363</v>
      </c>
      <c r="BC5" s="59">
        <f t="shared" si="1"/>
        <v>46370</v>
      </c>
      <c r="BD5" s="59">
        <f t="shared" si="1"/>
        <v>46377</v>
      </c>
      <c r="BE5" s="62">
        <f t="shared" si="1"/>
        <v>46384</v>
      </c>
    </row>
    <row r="6" spans="1:57">
      <c r="A6" s="92" t="s">
        <v>146</v>
      </c>
      <c r="B6" s="92" t="s">
        <v>147</v>
      </c>
      <c r="C6" s="92" t="s">
        <v>148</v>
      </c>
      <c r="D6" s="92" t="s">
        <v>15</v>
      </c>
      <c r="E6" s="93" t="s">
        <v>149</v>
      </c>
      <c r="F6" s="63" t="s">
        <v>150</v>
      </c>
      <c r="G6" s="63" t="s">
        <v>151</v>
      </c>
      <c r="H6" s="63" t="s">
        <v>152</v>
      </c>
      <c r="I6" s="63" t="s">
        <v>153</v>
      </c>
      <c r="J6" s="63" t="s">
        <v>150</v>
      </c>
      <c r="K6" s="63" t="s">
        <v>151</v>
      </c>
      <c r="L6" s="63" t="s">
        <v>152</v>
      </c>
      <c r="M6" s="63" t="s">
        <v>153</v>
      </c>
      <c r="N6" s="63" t="s">
        <v>150</v>
      </c>
      <c r="O6" s="63" t="s">
        <v>151</v>
      </c>
      <c r="P6" s="63" t="s">
        <v>152</v>
      </c>
      <c r="Q6" s="63" t="s">
        <v>153</v>
      </c>
      <c r="R6" s="63" t="s">
        <v>154</v>
      </c>
      <c r="S6" s="63" t="s">
        <v>150</v>
      </c>
      <c r="T6" s="63" t="s">
        <v>151</v>
      </c>
      <c r="U6" s="63" t="s">
        <v>152</v>
      </c>
      <c r="V6" s="63" t="s">
        <v>153</v>
      </c>
      <c r="W6" s="63" t="s">
        <v>150</v>
      </c>
      <c r="X6" s="63" t="s">
        <v>151</v>
      </c>
      <c r="Y6" s="63" t="s">
        <v>152</v>
      </c>
      <c r="Z6" s="63" t="s">
        <v>153</v>
      </c>
      <c r="AA6" s="63" t="s">
        <v>150</v>
      </c>
      <c r="AB6" s="63" t="s">
        <v>151</v>
      </c>
      <c r="AC6" s="63" t="s">
        <v>152</v>
      </c>
      <c r="AD6" s="63" t="s">
        <v>153</v>
      </c>
      <c r="AE6" s="63" t="s">
        <v>154</v>
      </c>
      <c r="AF6" s="63" t="s">
        <v>150</v>
      </c>
      <c r="AG6" s="63" t="s">
        <v>151</v>
      </c>
      <c r="AH6" s="63" t="s">
        <v>152</v>
      </c>
      <c r="AI6" s="63" t="s">
        <v>153</v>
      </c>
      <c r="AJ6" s="63" t="s">
        <v>150</v>
      </c>
      <c r="AK6" s="63" t="s">
        <v>151</v>
      </c>
      <c r="AL6" s="63" t="s">
        <v>152</v>
      </c>
      <c r="AM6" s="63" t="s">
        <v>153</v>
      </c>
      <c r="AN6" s="63" t="s">
        <v>154</v>
      </c>
      <c r="AO6" s="63" t="s">
        <v>150</v>
      </c>
      <c r="AP6" s="63" t="s">
        <v>151</v>
      </c>
      <c r="AQ6" s="63" t="s">
        <v>152</v>
      </c>
      <c r="AR6" s="63" t="s">
        <v>153</v>
      </c>
      <c r="AS6" s="63" t="s">
        <v>150</v>
      </c>
      <c r="AT6" s="63" t="s">
        <v>151</v>
      </c>
      <c r="AU6" s="63" t="s">
        <v>152</v>
      </c>
      <c r="AV6" s="63" t="s">
        <v>153</v>
      </c>
      <c r="AW6" s="63" t="s">
        <v>150</v>
      </c>
      <c r="AX6" s="63" t="s">
        <v>151</v>
      </c>
      <c r="AY6" s="63" t="s">
        <v>152</v>
      </c>
      <c r="AZ6" s="63" t="s">
        <v>153</v>
      </c>
      <c r="BA6" s="63" t="s">
        <v>154</v>
      </c>
      <c r="BB6" s="63" t="s">
        <v>150</v>
      </c>
      <c r="BC6" s="63" t="s">
        <v>151</v>
      </c>
      <c r="BD6" s="63" t="s">
        <v>152</v>
      </c>
      <c r="BE6" s="63" t="s">
        <v>153</v>
      </c>
    </row>
    <row r="7" spans="1:57">
      <c r="A7" s="102" t="s">
        <v>155</v>
      </c>
      <c r="B7" s="94"/>
      <c r="C7" s="105" t="s">
        <v>156</v>
      </c>
      <c r="D7" s="105" t="s">
        <v>157</v>
      </c>
      <c r="E7" s="95" t="s">
        <v>50</v>
      </c>
      <c r="F7" s="97"/>
      <c r="G7" s="98"/>
      <c r="H7" s="98"/>
      <c r="I7" s="99"/>
      <c r="J7" s="98"/>
      <c r="K7" s="98"/>
      <c r="L7" s="73"/>
      <c r="M7" s="74"/>
      <c r="N7" s="73"/>
      <c r="O7" s="72"/>
      <c r="P7" s="98"/>
      <c r="Q7" s="98"/>
      <c r="R7" s="99"/>
      <c r="S7" s="65"/>
      <c r="T7" s="66"/>
      <c r="U7" s="66"/>
      <c r="V7" s="67"/>
      <c r="W7" s="65"/>
      <c r="X7" s="66"/>
      <c r="Y7" s="66"/>
      <c r="Z7" s="67"/>
      <c r="AA7" s="65"/>
      <c r="AB7" s="66"/>
      <c r="AC7" s="66"/>
      <c r="AD7" s="66"/>
      <c r="AE7" s="67"/>
      <c r="AF7" s="65"/>
      <c r="AG7" s="66"/>
      <c r="AH7" s="66"/>
      <c r="AI7" s="67"/>
      <c r="AJ7" s="65"/>
      <c r="AK7" s="66"/>
      <c r="AL7" s="66"/>
      <c r="AM7" s="66"/>
      <c r="AN7" s="67"/>
      <c r="AO7" s="65"/>
      <c r="AP7" s="66"/>
      <c r="AQ7" s="66"/>
      <c r="AR7" s="67"/>
      <c r="AS7" s="65"/>
      <c r="AT7" s="66"/>
      <c r="AU7" s="66"/>
      <c r="AV7" s="67"/>
      <c r="AW7" s="65"/>
      <c r="AX7" s="66"/>
      <c r="AY7" s="66"/>
      <c r="AZ7" s="66"/>
      <c r="BA7" s="67"/>
      <c r="BB7" s="65"/>
      <c r="BC7" s="66"/>
      <c r="BD7" s="66"/>
      <c r="BE7" s="67"/>
    </row>
    <row r="8" spans="1:57">
      <c r="A8" s="68"/>
      <c r="B8" s="69" t="s">
        <v>158</v>
      </c>
      <c r="C8" s="69"/>
      <c r="D8" s="69"/>
      <c r="E8" s="90"/>
      <c r="F8" s="65"/>
      <c r="G8" s="66"/>
      <c r="H8" s="66"/>
      <c r="I8" s="67"/>
      <c r="J8" s="65"/>
      <c r="K8" s="66"/>
      <c r="L8" s="100"/>
      <c r="M8" s="101"/>
      <c r="N8" s="100"/>
      <c r="O8" s="112"/>
      <c r="P8" s="65"/>
      <c r="Q8" s="65"/>
      <c r="R8" s="67"/>
      <c r="S8" s="65"/>
      <c r="T8" s="66"/>
      <c r="U8" s="66"/>
      <c r="V8" s="67"/>
      <c r="W8" s="65"/>
      <c r="X8" s="66"/>
      <c r="Y8" s="66"/>
      <c r="Z8" s="67"/>
      <c r="AA8" s="65"/>
      <c r="AB8" s="66"/>
      <c r="AC8" s="66"/>
      <c r="AD8" s="66"/>
      <c r="AE8" s="67"/>
      <c r="AF8" s="65"/>
      <c r="AG8" s="66"/>
      <c r="AH8" s="66"/>
      <c r="AI8" s="67"/>
      <c r="AJ8" s="65"/>
      <c r="AK8" s="66"/>
      <c r="AL8" s="66"/>
      <c r="AM8" s="66"/>
      <c r="AN8" s="67"/>
      <c r="AO8" s="65"/>
      <c r="AP8" s="66"/>
      <c r="AQ8" s="66"/>
      <c r="AR8" s="67"/>
      <c r="AS8" s="65"/>
      <c r="AT8" s="66"/>
      <c r="AU8" s="66"/>
      <c r="AV8" s="67"/>
      <c r="AW8" s="65"/>
      <c r="AX8" s="66"/>
      <c r="AY8" s="66"/>
      <c r="AZ8" s="66"/>
      <c r="BA8" s="67"/>
      <c r="BB8" s="65"/>
      <c r="BC8" s="66"/>
      <c r="BD8" s="66"/>
      <c r="BE8" s="67"/>
    </row>
    <row r="9" spans="1:57">
      <c r="A9" s="68"/>
      <c r="B9" s="69" t="s">
        <v>159</v>
      </c>
      <c r="C9" s="69"/>
      <c r="D9" s="69"/>
      <c r="E9" s="90"/>
      <c r="F9" s="65"/>
      <c r="G9" s="66"/>
      <c r="H9" s="66"/>
      <c r="I9" s="67"/>
      <c r="J9" s="65"/>
      <c r="K9" s="66"/>
      <c r="L9" s="100"/>
      <c r="M9" s="101"/>
      <c r="N9" s="66"/>
      <c r="O9" s="65"/>
      <c r="P9" s="65"/>
      <c r="Q9" s="65"/>
      <c r="R9" s="67"/>
      <c r="S9" s="65"/>
      <c r="T9" s="66"/>
      <c r="U9" s="66"/>
      <c r="V9" s="67"/>
      <c r="W9" s="65"/>
      <c r="X9" s="66"/>
      <c r="Y9" s="66"/>
      <c r="Z9" s="67"/>
      <c r="AA9" s="65"/>
      <c r="AB9" s="66"/>
      <c r="AC9" s="66"/>
      <c r="AD9" s="66"/>
      <c r="AE9" s="67"/>
      <c r="AF9" s="65"/>
      <c r="AG9" s="66"/>
      <c r="AH9" s="66"/>
      <c r="AI9" s="67"/>
      <c r="AJ9" s="65"/>
      <c r="AK9" s="66"/>
      <c r="AL9" s="66"/>
      <c r="AM9" s="66"/>
      <c r="AN9" s="67"/>
      <c r="AO9" s="65"/>
      <c r="AP9" s="66"/>
      <c r="AQ9" s="66"/>
      <c r="AR9" s="67"/>
      <c r="AS9" s="65"/>
      <c r="AT9" s="66"/>
      <c r="AU9" s="66"/>
      <c r="AV9" s="67"/>
      <c r="AW9" s="65"/>
      <c r="AX9" s="66"/>
      <c r="AY9" s="66"/>
      <c r="AZ9" s="66"/>
      <c r="BA9" s="67"/>
      <c r="BB9" s="65"/>
      <c r="BC9" s="66"/>
      <c r="BD9" s="66"/>
      <c r="BE9" s="67"/>
    </row>
    <row r="10" spans="1:57">
      <c r="A10" s="71"/>
      <c r="B10" s="71" t="s">
        <v>160</v>
      </c>
      <c r="C10" s="71"/>
      <c r="D10" s="71"/>
      <c r="E10" s="91"/>
      <c r="F10" s="65"/>
      <c r="G10" s="66"/>
      <c r="H10" s="66"/>
      <c r="I10" s="67"/>
      <c r="J10" s="65"/>
      <c r="K10" s="66"/>
      <c r="L10" s="66"/>
      <c r="M10" s="67"/>
      <c r="N10" s="100"/>
      <c r="O10" s="128"/>
      <c r="P10" s="65"/>
      <c r="Q10" s="65"/>
      <c r="R10" s="67"/>
      <c r="S10" s="65"/>
      <c r="T10" s="66"/>
      <c r="U10" s="66"/>
      <c r="V10" s="67"/>
      <c r="W10" s="65"/>
      <c r="X10" s="66"/>
      <c r="Y10" s="66"/>
      <c r="Z10" s="67"/>
      <c r="AA10" s="65"/>
      <c r="AB10" s="66"/>
      <c r="AC10" s="66"/>
      <c r="AD10" s="66"/>
      <c r="AE10" s="67"/>
      <c r="AF10" s="65"/>
      <c r="AG10" s="66"/>
      <c r="AH10" s="66"/>
      <c r="AI10" s="67"/>
      <c r="AJ10" s="65"/>
      <c r="AK10" s="66"/>
      <c r="AL10" s="66"/>
      <c r="AM10" s="66"/>
      <c r="AN10" s="67"/>
      <c r="AO10" s="65"/>
      <c r="AP10" s="66"/>
      <c r="AQ10" s="66"/>
      <c r="AR10" s="67"/>
      <c r="AS10" s="65"/>
      <c r="AT10" s="66"/>
      <c r="AU10" s="66"/>
      <c r="AV10" s="67"/>
      <c r="AW10" s="65"/>
      <c r="AX10" s="66"/>
      <c r="AY10" s="66"/>
      <c r="AZ10" s="66"/>
      <c r="BA10" s="67"/>
      <c r="BB10" s="65"/>
      <c r="BC10" s="66"/>
      <c r="BD10" s="66"/>
      <c r="BE10" s="67"/>
    </row>
    <row r="11" spans="1:57">
      <c r="A11" s="102" t="s">
        <v>161</v>
      </c>
      <c r="B11" s="94"/>
      <c r="C11" s="105" t="s">
        <v>162</v>
      </c>
      <c r="D11" s="105" t="s">
        <v>163</v>
      </c>
      <c r="E11" s="95"/>
      <c r="F11" s="72"/>
      <c r="G11" s="73"/>
      <c r="H11" s="73"/>
      <c r="I11" s="74"/>
      <c r="J11" s="72"/>
      <c r="K11" s="73"/>
      <c r="L11" s="73"/>
      <c r="M11" s="74"/>
      <c r="N11" s="73"/>
      <c r="O11" s="72"/>
      <c r="P11" s="72"/>
      <c r="Q11" s="72"/>
      <c r="R11" s="74"/>
      <c r="S11" s="65"/>
      <c r="T11" s="66"/>
      <c r="U11" s="66"/>
      <c r="V11" s="67"/>
      <c r="W11" s="65"/>
      <c r="X11" s="66"/>
      <c r="Y11" s="66"/>
      <c r="Z11" s="67"/>
      <c r="AA11" s="65"/>
      <c r="AB11" s="66"/>
      <c r="AC11" s="66"/>
      <c r="AD11" s="66"/>
      <c r="AE11" s="67"/>
      <c r="AF11" s="65"/>
      <c r="AG11" s="66"/>
      <c r="AH11" s="66"/>
      <c r="AI11" s="67"/>
      <c r="AJ11" s="65"/>
      <c r="AK11" s="66"/>
      <c r="AL11" s="66"/>
      <c r="AM11" s="66"/>
      <c r="AN11" s="67"/>
      <c r="AO11" s="65"/>
      <c r="AP11" s="66"/>
      <c r="AQ11" s="66"/>
      <c r="AR11" s="67"/>
      <c r="AS11" s="65"/>
      <c r="AT11" s="66"/>
      <c r="AU11" s="66"/>
      <c r="AV11" s="67"/>
      <c r="AW11" s="65"/>
      <c r="AX11" s="66"/>
      <c r="AY11" s="66"/>
      <c r="AZ11" s="66"/>
      <c r="BA11" s="67"/>
      <c r="BB11" s="65"/>
      <c r="BC11" s="66"/>
      <c r="BD11" s="66"/>
      <c r="BE11" s="67"/>
    </row>
    <row r="12" spans="1:57">
      <c r="A12" s="71"/>
      <c r="B12" s="71" t="s">
        <v>164</v>
      </c>
      <c r="C12" s="71"/>
      <c r="D12" s="71"/>
      <c r="E12" s="91"/>
      <c r="F12" s="106"/>
      <c r="G12" s="107"/>
      <c r="H12" s="107"/>
      <c r="I12" s="108"/>
      <c r="J12" s="106"/>
      <c r="K12" s="107"/>
      <c r="L12" s="107"/>
      <c r="M12" s="108"/>
      <c r="N12" s="106"/>
      <c r="O12" s="106"/>
      <c r="P12" s="106"/>
      <c r="Q12" s="106"/>
      <c r="R12" s="108"/>
      <c r="S12" s="65"/>
      <c r="T12" s="66"/>
      <c r="U12" s="66"/>
      <c r="V12" s="67"/>
      <c r="W12" s="65"/>
      <c r="X12" s="66"/>
      <c r="Y12" s="66"/>
      <c r="Z12" s="67"/>
      <c r="AA12" s="65"/>
      <c r="AB12" s="66"/>
      <c r="AC12" s="66"/>
      <c r="AD12" s="66"/>
      <c r="AE12" s="67"/>
      <c r="AF12" s="65"/>
      <c r="AG12" s="66"/>
      <c r="AH12" s="66"/>
      <c r="AI12" s="67"/>
      <c r="AJ12" s="65"/>
      <c r="AK12" s="66"/>
      <c r="AL12" s="66"/>
      <c r="AM12" s="66"/>
      <c r="AN12" s="67"/>
      <c r="AO12" s="65"/>
      <c r="AP12" s="66"/>
      <c r="AQ12" s="66"/>
      <c r="AR12" s="67"/>
      <c r="AS12" s="65"/>
      <c r="AT12" s="66"/>
      <c r="AU12" s="66"/>
      <c r="AV12" s="67"/>
      <c r="AW12" s="65"/>
      <c r="AX12" s="66"/>
      <c r="AY12" s="66"/>
      <c r="AZ12" s="66"/>
      <c r="BA12" s="67"/>
      <c r="BB12" s="65"/>
      <c r="BC12" s="66"/>
      <c r="BD12" s="66"/>
      <c r="BE12" s="87"/>
    </row>
    <row r="13" spans="1:57">
      <c r="A13" s="71"/>
      <c r="B13" s="127"/>
      <c r="C13" s="71"/>
      <c r="D13" s="71"/>
      <c r="E13" s="91"/>
      <c r="F13" s="65"/>
      <c r="G13" s="66"/>
      <c r="H13" s="66"/>
      <c r="I13" s="67"/>
      <c r="J13" s="65"/>
      <c r="K13" s="66"/>
      <c r="L13" s="66"/>
      <c r="M13" s="67"/>
      <c r="N13" s="66"/>
      <c r="O13" s="65"/>
      <c r="P13" s="65"/>
      <c r="Q13" s="65"/>
      <c r="R13" s="67"/>
      <c r="S13" s="65"/>
      <c r="T13" s="66"/>
      <c r="U13" s="66"/>
      <c r="V13" s="67"/>
      <c r="W13" s="65"/>
      <c r="X13" s="66"/>
      <c r="Y13" s="66"/>
      <c r="Z13" s="67"/>
      <c r="AA13" s="65"/>
      <c r="AB13" s="66"/>
      <c r="AC13" s="66"/>
      <c r="AD13" s="66"/>
      <c r="AE13" s="67"/>
      <c r="AF13" s="65"/>
      <c r="AG13" s="66"/>
      <c r="AH13" s="66"/>
      <c r="AI13" s="67"/>
      <c r="AJ13" s="65"/>
      <c r="AK13" s="66"/>
      <c r="AL13" s="66"/>
      <c r="AM13" s="66"/>
      <c r="AN13" s="67"/>
      <c r="AO13" s="65"/>
      <c r="AP13" s="66"/>
      <c r="AQ13" s="66"/>
      <c r="AR13" s="67"/>
      <c r="AS13" s="65"/>
      <c r="AT13" s="66"/>
      <c r="AU13" s="66"/>
      <c r="AV13" s="67"/>
      <c r="AW13" s="65"/>
      <c r="AX13" s="66"/>
      <c r="AY13" s="66"/>
      <c r="AZ13" s="66"/>
      <c r="BA13" s="67"/>
      <c r="BB13" s="65"/>
      <c r="BC13" s="66"/>
      <c r="BD13" s="66"/>
      <c r="BE13" s="67"/>
    </row>
    <row r="14" spans="1:57">
      <c r="A14" s="102" t="s">
        <v>165</v>
      </c>
      <c r="B14" s="94"/>
      <c r="C14" s="105" t="s">
        <v>166</v>
      </c>
      <c r="D14" s="105" t="s">
        <v>167</v>
      </c>
      <c r="E14" s="95"/>
      <c r="F14" s="65"/>
      <c r="G14" s="66"/>
      <c r="H14" s="66"/>
      <c r="I14" s="67"/>
      <c r="J14" s="65"/>
      <c r="K14" s="66"/>
      <c r="L14" s="66"/>
      <c r="M14" s="67"/>
      <c r="N14" s="73"/>
      <c r="O14" s="73"/>
      <c r="P14" s="72"/>
      <c r="Q14" s="72"/>
      <c r="R14" s="74"/>
      <c r="S14" s="72"/>
      <c r="T14" s="73"/>
      <c r="U14" s="73"/>
      <c r="V14" s="74"/>
      <c r="W14" s="72"/>
      <c r="X14" s="73"/>
      <c r="Y14" s="73"/>
      <c r="Z14" s="74"/>
      <c r="AA14" s="72"/>
      <c r="AB14" s="73"/>
      <c r="AC14" s="73"/>
      <c r="AD14" s="73"/>
      <c r="AE14" s="74"/>
      <c r="AF14" s="72"/>
      <c r="AG14" s="73"/>
      <c r="AH14" s="73"/>
      <c r="AI14" s="74"/>
      <c r="AJ14" s="72"/>
      <c r="AK14" s="73"/>
      <c r="AL14" s="73"/>
      <c r="AM14" s="73"/>
      <c r="AN14" s="74"/>
      <c r="AO14" s="72"/>
      <c r="AP14" s="73"/>
      <c r="AQ14" s="73"/>
      <c r="AR14" s="74"/>
      <c r="AS14" s="72"/>
      <c r="AT14" s="73"/>
      <c r="AU14" s="73"/>
      <c r="AV14" s="74"/>
      <c r="AW14" s="72"/>
      <c r="AX14" s="73"/>
      <c r="AY14" s="73"/>
      <c r="AZ14" s="73"/>
      <c r="BA14" s="74"/>
      <c r="BB14" s="72"/>
      <c r="BC14" s="73"/>
      <c r="BD14" s="73"/>
      <c r="BE14" s="75"/>
    </row>
    <row r="15" spans="1:57">
      <c r="A15" s="103"/>
      <c r="B15" s="69" t="s">
        <v>168</v>
      </c>
      <c r="C15" s="69"/>
      <c r="D15" s="69"/>
      <c r="E15" s="90"/>
      <c r="F15" s="65"/>
      <c r="G15" s="66"/>
      <c r="H15" s="66"/>
      <c r="I15" s="67"/>
      <c r="J15" s="65"/>
      <c r="K15" s="66"/>
      <c r="L15" s="66"/>
      <c r="M15" s="67"/>
      <c r="N15" s="106"/>
      <c r="O15" s="106"/>
      <c r="P15" s="106"/>
      <c r="Q15" s="106"/>
      <c r="R15" s="108"/>
      <c r="S15" s="106"/>
      <c r="T15" s="107"/>
      <c r="U15" s="107"/>
      <c r="V15" s="108"/>
      <c r="W15" s="106"/>
      <c r="X15" s="107"/>
      <c r="Y15" s="107"/>
      <c r="Z15" s="108"/>
      <c r="AA15" s="65"/>
      <c r="AB15" s="66"/>
      <c r="AC15" s="66"/>
      <c r="AD15" s="66"/>
      <c r="AE15" s="67"/>
      <c r="AF15" s="65"/>
      <c r="AG15" s="66"/>
      <c r="AH15" s="66"/>
      <c r="AI15" s="67"/>
      <c r="AJ15" s="65"/>
      <c r="AK15" s="66"/>
      <c r="AL15" s="66"/>
      <c r="AM15" s="66"/>
      <c r="AN15" s="67"/>
      <c r="AO15" s="65"/>
      <c r="AP15" s="66"/>
      <c r="AQ15" s="66"/>
      <c r="AR15" s="67"/>
      <c r="AS15" s="65"/>
      <c r="AT15" s="66"/>
      <c r="AU15" s="66"/>
      <c r="AV15" s="67"/>
      <c r="AW15" s="65"/>
      <c r="AX15" s="66"/>
      <c r="AY15" s="66"/>
      <c r="AZ15" s="66"/>
      <c r="BA15" s="67"/>
      <c r="BB15" s="65"/>
      <c r="BC15" s="66"/>
      <c r="BD15" s="66"/>
      <c r="BE15" s="87"/>
    </row>
    <row r="16" spans="1:57">
      <c r="A16" s="71"/>
      <c r="B16" s="71" t="s">
        <v>169</v>
      </c>
      <c r="C16" s="71"/>
      <c r="D16" s="71"/>
      <c r="E16" s="91"/>
      <c r="F16" s="65"/>
      <c r="G16" s="66"/>
      <c r="H16" s="66"/>
      <c r="I16" s="67"/>
      <c r="J16" s="65"/>
      <c r="K16" s="66"/>
      <c r="L16" s="66"/>
      <c r="M16" s="67"/>
      <c r="N16" s="106"/>
      <c r="O16" s="106"/>
      <c r="P16" s="106"/>
      <c r="Q16" s="106"/>
      <c r="R16" s="108"/>
      <c r="S16" s="106"/>
      <c r="T16" s="107"/>
      <c r="U16" s="107"/>
      <c r="V16" s="108"/>
      <c r="W16" s="106"/>
      <c r="X16" s="107"/>
      <c r="Y16" s="107"/>
      <c r="Z16" s="108"/>
      <c r="AA16" s="65"/>
      <c r="AB16" s="66"/>
      <c r="AC16" s="66"/>
      <c r="AD16" s="66"/>
      <c r="AE16" s="67"/>
      <c r="AF16" s="65"/>
      <c r="AG16" s="66"/>
      <c r="AH16" s="66"/>
      <c r="AI16" s="67"/>
      <c r="AJ16" s="65"/>
      <c r="AK16" s="66"/>
      <c r="AL16" s="66"/>
      <c r="AM16" s="66"/>
      <c r="AN16" s="67"/>
      <c r="AO16" s="65"/>
      <c r="AP16" s="66"/>
      <c r="AQ16" s="66"/>
      <c r="AR16" s="67"/>
      <c r="AS16" s="65"/>
      <c r="AT16" s="66"/>
      <c r="AU16" s="66"/>
      <c r="AV16" s="67"/>
      <c r="AW16" s="65"/>
      <c r="AX16" s="66"/>
      <c r="AY16" s="66"/>
      <c r="AZ16" s="66"/>
      <c r="BA16" s="67"/>
      <c r="BB16" s="65"/>
      <c r="BC16" s="66"/>
      <c r="BD16" s="66"/>
      <c r="BE16" s="87"/>
    </row>
    <row r="17" spans="1:57">
      <c r="A17" s="69"/>
      <c r="B17" s="69" t="s">
        <v>170</v>
      </c>
      <c r="C17" s="69"/>
      <c r="D17" s="69"/>
      <c r="E17" s="90"/>
      <c r="F17" s="65"/>
      <c r="G17" s="66"/>
      <c r="H17" s="66"/>
      <c r="I17" s="67"/>
      <c r="J17" s="65"/>
      <c r="K17" s="66"/>
      <c r="L17" s="66"/>
      <c r="M17" s="67"/>
      <c r="N17" s="65"/>
      <c r="O17" s="65"/>
      <c r="P17" s="65"/>
      <c r="Q17" s="65"/>
      <c r="R17" s="67"/>
      <c r="S17" s="65"/>
      <c r="T17" s="66"/>
      <c r="U17" s="66"/>
      <c r="V17" s="67"/>
      <c r="W17" s="65"/>
      <c r="X17" s="66"/>
      <c r="Y17" s="66"/>
      <c r="Z17" s="67"/>
      <c r="AA17" s="106"/>
      <c r="AB17" s="107"/>
      <c r="AC17" s="107"/>
      <c r="AD17" s="107"/>
      <c r="AE17" s="108"/>
      <c r="AF17" s="106"/>
      <c r="AG17" s="107"/>
      <c r="AH17" s="107"/>
      <c r="AI17" s="113" t="s">
        <v>171</v>
      </c>
      <c r="AJ17" s="65"/>
      <c r="AK17" s="66"/>
      <c r="AL17" s="66"/>
      <c r="AM17" s="66"/>
      <c r="AN17" s="67"/>
      <c r="AO17" s="65"/>
      <c r="AP17" s="66"/>
      <c r="AQ17" s="66"/>
      <c r="AR17" s="67"/>
      <c r="AS17" s="65"/>
      <c r="AT17" s="66"/>
      <c r="AU17" s="66"/>
      <c r="AV17" s="67"/>
      <c r="AW17" s="65"/>
      <c r="AX17" s="66"/>
      <c r="AY17" s="66"/>
      <c r="AZ17" s="66"/>
      <c r="BA17" s="67"/>
      <c r="BB17" s="65"/>
      <c r="BC17" s="66"/>
      <c r="BD17" s="66"/>
      <c r="BE17" s="87"/>
    </row>
    <row r="18" spans="1:57">
      <c r="A18" s="71"/>
      <c r="B18" s="71" t="s">
        <v>172</v>
      </c>
      <c r="C18" s="71"/>
      <c r="D18" s="71"/>
      <c r="E18" s="91"/>
      <c r="F18" s="65"/>
      <c r="G18" s="66"/>
      <c r="H18" s="66"/>
      <c r="I18" s="67"/>
      <c r="J18" s="65"/>
      <c r="K18" s="66"/>
      <c r="L18" s="66"/>
      <c r="M18" s="67"/>
      <c r="N18" s="65"/>
      <c r="O18" s="65"/>
      <c r="P18" s="65"/>
      <c r="Q18" s="65"/>
      <c r="R18" s="67"/>
      <c r="S18" s="65"/>
      <c r="T18" s="66"/>
      <c r="U18" s="66"/>
      <c r="V18" s="67"/>
      <c r="W18" s="65"/>
      <c r="X18" s="66"/>
      <c r="Y18" s="66"/>
      <c r="Z18" s="67"/>
      <c r="AA18" s="65"/>
      <c r="AB18" s="66"/>
      <c r="AC18" s="66"/>
      <c r="AD18" s="66"/>
      <c r="AE18" s="67"/>
      <c r="AF18" s="65"/>
      <c r="AG18" s="66"/>
      <c r="AH18" s="66"/>
      <c r="AI18" s="121"/>
      <c r="AJ18" s="106"/>
      <c r="AK18" s="107"/>
      <c r="AL18" s="66"/>
      <c r="AM18" s="66"/>
      <c r="AN18" s="67"/>
      <c r="AO18" s="65"/>
      <c r="AP18" s="66"/>
      <c r="AQ18" s="66"/>
      <c r="AR18" s="67"/>
      <c r="AS18" s="65"/>
      <c r="AT18" s="66"/>
      <c r="AU18" s="66"/>
      <c r="AV18" s="67"/>
      <c r="AW18" s="65"/>
      <c r="AX18" s="66"/>
      <c r="AY18" s="66"/>
      <c r="AZ18" s="66"/>
      <c r="BA18" s="67"/>
      <c r="BB18" s="65"/>
      <c r="BC18" s="66"/>
      <c r="BD18" s="66"/>
      <c r="BE18" s="87"/>
    </row>
    <row r="19" spans="1:57">
      <c r="A19" s="69"/>
      <c r="B19" s="69" t="s">
        <v>173</v>
      </c>
      <c r="C19" s="69"/>
      <c r="D19" s="69"/>
      <c r="E19" s="90"/>
      <c r="F19" s="65"/>
      <c r="G19" s="66"/>
      <c r="H19" s="66"/>
      <c r="I19" s="67"/>
      <c r="J19" s="65"/>
      <c r="K19" s="66"/>
      <c r="L19" s="66"/>
      <c r="M19" s="67"/>
      <c r="N19" s="65"/>
      <c r="O19" s="65"/>
      <c r="P19" s="65"/>
      <c r="Q19" s="65"/>
      <c r="R19" s="67"/>
      <c r="S19" s="65"/>
      <c r="T19" s="66"/>
      <c r="U19" s="66"/>
      <c r="V19" s="67"/>
      <c r="W19" s="65"/>
      <c r="X19" s="66"/>
      <c r="Y19" s="66"/>
      <c r="Z19" s="67"/>
      <c r="AA19" s="65"/>
      <c r="AB19" s="66"/>
      <c r="AC19" s="66"/>
      <c r="AD19" s="66"/>
      <c r="AE19" s="67"/>
      <c r="AF19" s="65"/>
      <c r="AG19" s="66"/>
      <c r="AH19" s="66"/>
      <c r="AI19" s="67"/>
      <c r="AJ19" s="65"/>
      <c r="AK19" s="66"/>
      <c r="AL19" s="66"/>
      <c r="AM19" s="66"/>
      <c r="AN19" s="67"/>
      <c r="AO19" s="65"/>
      <c r="AP19" s="66"/>
      <c r="AQ19" s="66"/>
      <c r="AR19" s="67"/>
      <c r="AS19" s="65"/>
      <c r="AT19" s="66"/>
      <c r="AU19" s="107"/>
      <c r="AV19" s="108"/>
      <c r="AW19" s="106"/>
      <c r="AX19" s="107"/>
      <c r="AY19" s="107"/>
      <c r="AZ19" s="107"/>
      <c r="BA19" s="108"/>
      <c r="BB19" s="106"/>
      <c r="BC19" s="107" t="s">
        <v>171</v>
      </c>
      <c r="BD19" s="66"/>
      <c r="BE19" s="122"/>
    </row>
    <row r="20" spans="1:57">
      <c r="A20" s="71"/>
      <c r="B20" s="71" t="s">
        <v>174</v>
      </c>
      <c r="C20" s="71"/>
      <c r="D20" s="71"/>
      <c r="E20" s="91"/>
      <c r="F20" s="65"/>
      <c r="G20" s="66"/>
      <c r="H20" s="66"/>
      <c r="I20" s="67"/>
      <c r="J20" s="65"/>
      <c r="K20" s="66"/>
      <c r="L20" s="66"/>
      <c r="M20" s="67"/>
      <c r="N20" s="65"/>
      <c r="O20" s="65"/>
      <c r="P20" s="65"/>
      <c r="Q20" s="65"/>
      <c r="R20" s="67"/>
      <c r="S20" s="65"/>
      <c r="T20" s="66"/>
      <c r="U20" s="66"/>
      <c r="V20" s="67"/>
      <c r="W20" s="65"/>
      <c r="X20" s="66"/>
      <c r="Y20" s="66"/>
      <c r="Z20" s="67"/>
      <c r="AA20" s="65"/>
      <c r="AB20" s="66"/>
      <c r="AC20" s="66"/>
      <c r="AD20" s="66"/>
      <c r="AE20" s="67"/>
      <c r="AF20" s="65"/>
      <c r="AG20" s="66"/>
      <c r="AH20" s="66"/>
      <c r="AI20" s="67"/>
      <c r="AJ20" s="65"/>
      <c r="AK20" s="66"/>
      <c r="AL20" s="66"/>
      <c r="AM20" s="66"/>
      <c r="AN20" s="67"/>
      <c r="AO20" s="65"/>
      <c r="AP20" s="66"/>
      <c r="AQ20" s="66"/>
      <c r="AR20" s="67"/>
      <c r="AS20" s="65"/>
      <c r="AT20" s="66"/>
      <c r="AU20" s="66"/>
      <c r="AV20" s="67"/>
      <c r="AW20" s="65"/>
      <c r="AX20" s="66"/>
      <c r="AY20" s="66"/>
      <c r="AZ20" s="66"/>
      <c r="BA20" s="67"/>
      <c r="BB20" s="65"/>
      <c r="BC20" s="66"/>
      <c r="BD20" s="107"/>
      <c r="BE20" s="114"/>
    </row>
    <row r="21" spans="1:57">
      <c r="A21" s="71"/>
      <c r="B21" s="71"/>
      <c r="C21" s="71"/>
      <c r="D21" s="71"/>
      <c r="E21" s="91"/>
      <c r="F21" s="65"/>
      <c r="G21" s="66"/>
      <c r="H21" s="66"/>
      <c r="I21" s="67"/>
      <c r="J21" s="65"/>
      <c r="K21" s="66"/>
      <c r="L21" s="66"/>
      <c r="M21" s="67"/>
      <c r="N21" s="65"/>
      <c r="O21" s="65"/>
      <c r="P21" s="65"/>
      <c r="Q21" s="65"/>
      <c r="R21" s="67"/>
      <c r="S21" s="65"/>
      <c r="T21" s="66"/>
      <c r="U21" s="66"/>
      <c r="V21" s="67"/>
      <c r="W21" s="65"/>
      <c r="X21" s="66"/>
      <c r="Y21" s="66"/>
      <c r="Z21" s="67"/>
      <c r="AA21" s="65"/>
      <c r="AB21" s="66"/>
      <c r="AC21" s="66"/>
      <c r="AD21" s="66"/>
      <c r="AE21" s="67"/>
      <c r="AF21" s="65"/>
      <c r="AG21" s="66"/>
      <c r="AH21" s="66"/>
      <c r="AI21" s="67"/>
      <c r="AJ21" s="65"/>
      <c r="AK21" s="66"/>
      <c r="AL21" s="66"/>
      <c r="AM21" s="66"/>
      <c r="AN21" s="67"/>
      <c r="AO21" s="65"/>
      <c r="AP21" s="66"/>
      <c r="AQ21" s="66"/>
      <c r="AR21" s="67"/>
      <c r="AS21" s="65"/>
      <c r="AT21" s="66"/>
      <c r="AU21" s="66"/>
      <c r="AV21" s="67"/>
      <c r="AW21" s="65"/>
      <c r="AX21" s="66"/>
      <c r="AY21" s="66"/>
      <c r="AZ21" s="66"/>
      <c r="BA21" s="67"/>
      <c r="BB21" s="65"/>
      <c r="BC21" s="66"/>
      <c r="BD21" s="66"/>
      <c r="BE21" s="87"/>
    </row>
    <row r="22" spans="1:57">
      <c r="A22" s="104" t="s">
        <v>175</v>
      </c>
      <c r="B22" s="96"/>
      <c r="C22" s="104" t="s">
        <v>176</v>
      </c>
      <c r="D22" s="105" t="s">
        <v>177</v>
      </c>
      <c r="E22" s="95"/>
      <c r="F22" s="65"/>
      <c r="G22" s="66"/>
      <c r="H22" s="66"/>
      <c r="I22" s="67"/>
      <c r="J22" s="65"/>
      <c r="K22" s="66"/>
      <c r="L22" s="66"/>
      <c r="M22" s="67"/>
      <c r="N22" s="65"/>
      <c r="O22" s="65"/>
      <c r="P22" s="65"/>
      <c r="Q22" s="65"/>
      <c r="R22" s="67"/>
      <c r="S22" s="65"/>
      <c r="T22" s="66"/>
      <c r="U22" s="66"/>
      <c r="V22" s="67"/>
      <c r="W22" s="65"/>
      <c r="X22" s="66"/>
      <c r="Y22" s="66"/>
      <c r="Z22" s="67"/>
      <c r="AA22" s="72"/>
      <c r="AB22" s="73"/>
      <c r="AC22" s="73"/>
      <c r="AD22" s="73"/>
      <c r="AE22" s="74"/>
      <c r="AF22" s="72"/>
      <c r="AG22" s="73"/>
      <c r="AH22" s="73"/>
      <c r="AI22" s="74"/>
      <c r="AJ22" s="72"/>
      <c r="AK22" s="73"/>
      <c r="AL22" s="73"/>
      <c r="AM22" s="73"/>
      <c r="AN22" s="74"/>
      <c r="AO22" s="72"/>
      <c r="AP22" s="73"/>
      <c r="AQ22" s="73"/>
      <c r="AR22" s="74"/>
      <c r="AS22" s="72"/>
      <c r="AT22" s="73"/>
      <c r="AU22" s="73"/>
      <c r="AV22" s="74"/>
      <c r="AW22" s="72"/>
      <c r="AX22" s="73"/>
      <c r="AY22" s="73"/>
      <c r="AZ22" s="73"/>
      <c r="BA22" s="74"/>
      <c r="BB22" s="72"/>
      <c r="BC22" s="73"/>
      <c r="BD22" s="73"/>
      <c r="BE22" s="75"/>
    </row>
    <row r="23" spans="1:57">
      <c r="A23" s="71"/>
      <c r="B23" s="127" t="s">
        <v>178</v>
      </c>
      <c r="C23" s="71"/>
      <c r="D23" s="69"/>
      <c r="E23" s="90"/>
      <c r="F23" s="65"/>
      <c r="G23" s="66"/>
      <c r="H23" s="66"/>
      <c r="I23" s="67"/>
      <c r="J23" s="65"/>
      <c r="K23" s="66"/>
      <c r="L23" s="66"/>
      <c r="M23" s="67"/>
      <c r="N23" s="65"/>
      <c r="O23" s="65"/>
      <c r="P23" s="65"/>
      <c r="Q23" s="65"/>
      <c r="R23" s="67"/>
      <c r="S23" s="65"/>
      <c r="T23" s="66"/>
      <c r="U23" s="66"/>
      <c r="V23" s="67"/>
      <c r="W23" s="65"/>
      <c r="X23" s="66"/>
      <c r="Y23" s="66"/>
      <c r="Z23" s="67"/>
      <c r="AA23" s="106"/>
      <c r="AB23" s="107"/>
      <c r="AC23" s="107"/>
      <c r="AD23" s="107"/>
      <c r="AE23" s="108"/>
      <c r="AF23" s="106"/>
      <c r="AG23" s="107"/>
      <c r="AH23" s="107"/>
      <c r="AI23" s="108"/>
      <c r="AJ23" s="106"/>
      <c r="AK23" s="107"/>
      <c r="AL23" s="107"/>
      <c r="AM23" s="107"/>
      <c r="AN23" s="108"/>
      <c r="AO23" s="106"/>
      <c r="AP23" s="107"/>
      <c r="AQ23" s="107"/>
      <c r="AR23" s="108"/>
      <c r="AS23" s="106"/>
      <c r="AT23" s="107"/>
      <c r="AU23" s="107"/>
      <c r="AV23" s="108"/>
      <c r="AW23" s="106"/>
      <c r="AX23" s="107"/>
      <c r="AY23" s="107"/>
      <c r="AZ23" s="107"/>
      <c r="BA23" s="108"/>
      <c r="BB23" s="106"/>
      <c r="BC23" s="107"/>
      <c r="BD23" s="98"/>
      <c r="BE23" s="124"/>
    </row>
    <row r="24" spans="1:57">
      <c r="A24" s="71"/>
      <c r="B24" s="127" t="s">
        <v>179</v>
      </c>
      <c r="C24" s="71"/>
      <c r="D24" s="69"/>
      <c r="E24" s="90"/>
      <c r="F24" s="65"/>
      <c r="G24" s="66"/>
      <c r="H24" s="66"/>
      <c r="I24" s="67"/>
      <c r="J24" s="65"/>
      <c r="K24" s="66"/>
      <c r="L24" s="66"/>
      <c r="M24" s="67"/>
      <c r="N24" s="65"/>
      <c r="O24" s="65"/>
      <c r="P24" s="65"/>
      <c r="Q24" s="65"/>
      <c r="R24" s="67"/>
      <c r="S24" s="65"/>
      <c r="T24" s="66"/>
      <c r="U24" s="66"/>
      <c r="V24" s="67"/>
      <c r="W24" s="65"/>
      <c r="X24" s="66"/>
      <c r="Y24" s="66"/>
      <c r="Z24" s="67"/>
      <c r="AA24" s="65"/>
      <c r="AB24" s="66"/>
      <c r="AC24" s="66"/>
      <c r="AD24" s="66"/>
      <c r="AE24" s="67"/>
      <c r="AF24" s="65"/>
      <c r="AG24" s="66"/>
      <c r="AH24" s="66"/>
      <c r="AI24" s="67"/>
      <c r="AJ24" s="65"/>
      <c r="AK24" s="66"/>
      <c r="AL24" s="66"/>
      <c r="AM24" s="66"/>
      <c r="AN24" s="67"/>
      <c r="AO24" s="65"/>
      <c r="AP24" s="66"/>
      <c r="AQ24" s="66"/>
      <c r="AR24" s="67"/>
      <c r="AS24" s="65"/>
      <c r="AT24" s="66"/>
      <c r="AU24" s="66"/>
      <c r="AV24" s="67"/>
      <c r="AW24" s="65"/>
      <c r="AX24" s="66"/>
      <c r="AY24" s="66"/>
      <c r="AZ24" s="66"/>
      <c r="BA24" s="67"/>
      <c r="BB24" s="65"/>
      <c r="BC24" s="107"/>
      <c r="BD24" s="107"/>
      <c r="BE24" s="87"/>
    </row>
    <row r="25" spans="1:57">
      <c r="A25" s="71"/>
      <c r="B25" s="127" t="s">
        <v>180</v>
      </c>
      <c r="C25" s="71"/>
      <c r="D25" s="71"/>
      <c r="E25" s="91"/>
      <c r="F25" s="65"/>
      <c r="G25" s="66"/>
      <c r="H25" s="66"/>
      <c r="I25" s="67"/>
      <c r="J25" s="65"/>
      <c r="K25" s="66"/>
      <c r="L25" s="66"/>
      <c r="M25" s="67"/>
      <c r="N25" s="65"/>
      <c r="O25" s="65"/>
      <c r="P25" s="65"/>
      <c r="Q25" s="65"/>
      <c r="R25" s="67"/>
      <c r="S25" s="65"/>
      <c r="T25" s="66"/>
      <c r="U25" s="66"/>
      <c r="V25" s="67"/>
      <c r="W25" s="65"/>
      <c r="X25" s="66"/>
      <c r="Y25" s="66"/>
      <c r="Z25" s="67"/>
      <c r="AA25" s="65"/>
      <c r="AB25" s="66"/>
      <c r="AC25" s="66"/>
      <c r="AD25" s="66"/>
      <c r="AE25" s="67"/>
      <c r="AF25" s="65"/>
      <c r="AG25" s="66"/>
      <c r="AH25" s="66"/>
      <c r="AI25" s="67"/>
      <c r="AJ25" s="65"/>
      <c r="AK25" s="66"/>
      <c r="AL25" s="66"/>
      <c r="AM25" s="66"/>
      <c r="AN25" s="67"/>
      <c r="AO25" s="65"/>
      <c r="AP25" s="66"/>
      <c r="AQ25" s="66"/>
      <c r="AR25" s="67"/>
      <c r="AS25" s="65"/>
      <c r="AT25" s="66"/>
      <c r="AU25" s="66"/>
      <c r="AV25" s="67"/>
      <c r="AW25" s="65"/>
      <c r="AX25" s="66"/>
      <c r="AY25" s="66"/>
      <c r="AZ25" s="66"/>
      <c r="BA25" s="67"/>
      <c r="BB25" s="65"/>
      <c r="BC25" s="66"/>
      <c r="BD25" s="107"/>
      <c r="BE25" s="123" t="s">
        <v>171</v>
      </c>
    </row>
    <row r="26" spans="1:57">
      <c r="A26" s="71"/>
      <c r="B26" s="127" t="s">
        <v>181</v>
      </c>
      <c r="C26" s="71"/>
      <c r="D26" s="69"/>
      <c r="E26" s="90"/>
      <c r="F26" s="65"/>
      <c r="G26" s="66"/>
      <c r="H26" s="66"/>
      <c r="I26" s="67"/>
      <c r="J26" s="65"/>
      <c r="K26" s="66"/>
      <c r="L26" s="66"/>
      <c r="M26" s="67"/>
      <c r="N26" s="65"/>
      <c r="O26" s="65"/>
      <c r="P26" s="65"/>
      <c r="Q26" s="65"/>
      <c r="R26" s="67"/>
      <c r="S26" s="65"/>
      <c r="T26" s="66"/>
      <c r="U26" s="66"/>
      <c r="V26" s="67"/>
      <c r="W26" s="65"/>
      <c r="X26" s="66"/>
      <c r="Y26" s="66"/>
      <c r="Z26" s="67"/>
      <c r="AA26" s="65"/>
      <c r="AB26" s="66"/>
      <c r="AC26" s="66"/>
      <c r="AD26" s="66"/>
      <c r="AE26" s="67"/>
      <c r="AF26" s="65"/>
      <c r="AG26" s="66"/>
      <c r="AH26" s="66"/>
      <c r="AI26" s="67"/>
      <c r="AJ26" s="65"/>
      <c r="AK26" s="66"/>
      <c r="AL26" s="66"/>
      <c r="AM26" s="66"/>
      <c r="AN26" s="67"/>
      <c r="AO26" s="65"/>
      <c r="AP26" s="66"/>
      <c r="AQ26" s="66"/>
      <c r="AR26" s="67"/>
      <c r="AS26" s="65"/>
      <c r="AT26" s="66"/>
      <c r="AU26" s="66"/>
      <c r="AV26" s="67"/>
      <c r="AW26" s="65"/>
      <c r="AX26" s="66"/>
      <c r="AY26" s="66"/>
      <c r="AZ26" s="66"/>
      <c r="BA26" s="67"/>
      <c r="BB26" s="65"/>
      <c r="BC26" s="66"/>
      <c r="BD26" s="66"/>
      <c r="BE26" s="123" t="s">
        <v>171</v>
      </c>
    </row>
    <row r="27" spans="1:57">
      <c r="A27" s="71"/>
      <c r="B27" s="71"/>
      <c r="C27" s="71"/>
      <c r="D27" s="71"/>
      <c r="E27" s="91"/>
      <c r="F27" s="65"/>
      <c r="G27" s="66"/>
      <c r="H27" s="66"/>
      <c r="I27" s="67"/>
      <c r="J27" s="65"/>
      <c r="K27" s="66"/>
      <c r="L27" s="66"/>
      <c r="M27" s="67"/>
      <c r="N27" s="65"/>
      <c r="O27" s="65"/>
      <c r="P27" s="65"/>
      <c r="Q27" s="65"/>
      <c r="R27" s="67"/>
      <c r="S27" s="65"/>
      <c r="T27" s="66"/>
      <c r="U27" s="66"/>
      <c r="V27" s="67"/>
      <c r="W27" s="65"/>
      <c r="X27" s="66"/>
      <c r="Y27" s="66"/>
      <c r="Z27" s="67"/>
      <c r="AA27" s="65"/>
      <c r="AB27" s="66"/>
      <c r="AC27" s="66"/>
      <c r="AD27" s="66"/>
      <c r="AE27" s="67"/>
      <c r="AF27" s="65"/>
      <c r="AG27" s="66"/>
      <c r="AH27" s="66"/>
      <c r="AI27" s="67"/>
      <c r="AJ27" s="65"/>
      <c r="AK27" s="66"/>
      <c r="AL27" s="66"/>
      <c r="AM27" s="66"/>
      <c r="AN27" s="67"/>
      <c r="AO27" s="65"/>
      <c r="AP27" s="66"/>
      <c r="AQ27" s="66"/>
      <c r="AR27" s="67"/>
      <c r="AS27" s="65"/>
      <c r="AT27" s="66"/>
      <c r="AU27" s="66"/>
      <c r="AV27" s="67"/>
      <c r="AW27" s="65"/>
      <c r="AX27" s="66"/>
      <c r="AY27" s="66"/>
      <c r="AZ27" s="66"/>
      <c r="BA27" s="67"/>
      <c r="BB27" s="65"/>
      <c r="BC27" s="66"/>
      <c r="BD27" s="66"/>
      <c r="BE27" s="87"/>
    </row>
    <row r="28" spans="1:57">
      <c r="A28" s="104" t="s">
        <v>182</v>
      </c>
      <c r="B28" s="96"/>
      <c r="C28" s="104" t="s">
        <v>183</v>
      </c>
      <c r="D28" s="105" t="s">
        <v>110</v>
      </c>
      <c r="E28" s="95"/>
      <c r="F28" s="65"/>
      <c r="G28" s="66"/>
      <c r="H28" s="66"/>
      <c r="I28" s="67"/>
      <c r="J28" s="65"/>
      <c r="K28" s="66"/>
      <c r="L28" s="66"/>
      <c r="M28" s="67"/>
      <c r="N28" s="65"/>
      <c r="O28" s="65"/>
      <c r="P28" s="65"/>
      <c r="Q28" s="65"/>
      <c r="R28" s="67"/>
      <c r="S28" s="65"/>
      <c r="T28" s="66"/>
      <c r="U28" s="66"/>
      <c r="V28" s="67"/>
      <c r="W28" s="65"/>
      <c r="X28" s="66"/>
      <c r="Y28" s="66"/>
      <c r="Z28" s="67"/>
      <c r="AA28" s="65"/>
      <c r="AB28" s="66"/>
      <c r="AC28" s="66"/>
      <c r="AD28" s="66"/>
      <c r="AE28" s="67"/>
      <c r="AF28" s="65"/>
      <c r="AG28" s="66"/>
      <c r="AH28" s="66"/>
      <c r="AI28" s="67"/>
      <c r="AJ28" s="65"/>
      <c r="AK28" s="66"/>
      <c r="AL28" s="66"/>
      <c r="AM28" s="66"/>
      <c r="AN28" s="67"/>
      <c r="AO28" s="65"/>
      <c r="AP28" s="66"/>
      <c r="AQ28" s="66"/>
      <c r="AR28" s="67"/>
      <c r="AS28" s="65"/>
      <c r="AT28" s="66"/>
      <c r="AU28" s="66"/>
      <c r="AV28" s="67"/>
      <c r="AW28" s="65"/>
      <c r="AX28" s="66"/>
      <c r="AY28" s="66"/>
      <c r="AZ28" s="66"/>
      <c r="BA28" s="67"/>
      <c r="BB28" s="65"/>
      <c r="BC28" s="66"/>
      <c r="BD28" s="66"/>
      <c r="BE28" s="87"/>
    </row>
    <row r="29" spans="1:57">
      <c r="A29" s="71"/>
      <c r="B29" s="127" t="s">
        <v>184</v>
      </c>
      <c r="C29" s="71"/>
      <c r="D29" s="69"/>
      <c r="E29" s="90"/>
      <c r="F29" s="65"/>
      <c r="G29" s="66"/>
      <c r="H29" s="66"/>
      <c r="I29" s="67"/>
      <c r="J29" s="65"/>
      <c r="K29" s="66"/>
      <c r="L29" s="66"/>
      <c r="M29" s="67"/>
      <c r="N29" s="65"/>
      <c r="O29" s="65"/>
      <c r="P29" s="65"/>
      <c r="Q29" s="65"/>
      <c r="R29" s="67"/>
      <c r="S29" s="65"/>
      <c r="T29" s="66"/>
      <c r="U29" s="66"/>
      <c r="V29" s="67"/>
      <c r="W29" s="65"/>
      <c r="X29" s="66"/>
      <c r="Y29" s="66"/>
      <c r="Z29" s="67"/>
      <c r="AA29" s="65"/>
      <c r="AB29" s="66"/>
      <c r="AC29" s="66"/>
      <c r="AD29" s="66"/>
      <c r="AE29" s="67"/>
      <c r="AF29" s="65"/>
      <c r="AG29" s="66"/>
      <c r="AH29" s="66"/>
      <c r="AI29" s="67"/>
      <c r="AJ29" s="65"/>
      <c r="AK29" s="66"/>
      <c r="AL29" s="66"/>
      <c r="AM29" s="66"/>
      <c r="AN29" s="67"/>
      <c r="AO29" s="65"/>
      <c r="AP29" s="66"/>
      <c r="AQ29" s="66"/>
      <c r="AR29" s="67"/>
      <c r="AS29" s="65"/>
      <c r="AT29" s="66"/>
      <c r="AU29" s="66"/>
      <c r="AV29" s="67"/>
      <c r="AW29" s="65"/>
      <c r="AX29" s="66"/>
      <c r="AY29" s="66"/>
      <c r="AZ29" s="66"/>
      <c r="BA29" s="67"/>
      <c r="BB29" s="65"/>
      <c r="BC29" s="66"/>
      <c r="BD29" s="66"/>
      <c r="BE29" s="87"/>
    </row>
    <row r="30" spans="1:57">
      <c r="A30" s="71"/>
      <c r="B30" s="127" t="s">
        <v>185</v>
      </c>
      <c r="C30" s="71"/>
      <c r="D30" s="71"/>
      <c r="E30" s="91" t="s">
        <v>50</v>
      </c>
      <c r="F30" s="65"/>
      <c r="G30" s="66"/>
      <c r="H30" s="66"/>
      <c r="I30" s="67"/>
      <c r="J30" s="65"/>
      <c r="K30" s="66"/>
      <c r="L30" s="66"/>
      <c r="M30" s="67"/>
      <c r="N30" s="65"/>
      <c r="O30" s="65"/>
      <c r="P30" s="65"/>
      <c r="Q30" s="65"/>
      <c r="R30" s="67"/>
      <c r="S30" s="65"/>
      <c r="T30" s="66"/>
      <c r="U30" s="66"/>
      <c r="V30" s="67"/>
      <c r="W30" s="65"/>
      <c r="X30" s="66"/>
      <c r="Y30" s="66"/>
      <c r="Z30" s="67"/>
      <c r="AA30" s="65"/>
      <c r="AB30" s="66"/>
      <c r="AC30" s="66"/>
      <c r="AD30" s="66"/>
      <c r="AE30" s="67"/>
      <c r="AF30" s="65"/>
      <c r="AG30" s="66"/>
      <c r="AH30" s="66"/>
      <c r="AI30" s="87"/>
      <c r="AJ30" s="65"/>
      <c r="AK30" s="66"/>
      <c r="AL30" s="66"/>
      <c r="AM30" s="66"/>
      <c r="AN30" s="67"/>
      <c r="AO30" s="65"/>
      <c r="AP30" s="66"/>
      <c r="AQ30" s="66"/>
      <c r="AR30" s="67"/>
      <c r="AS30" s="65"/>
      <c r="AT30" s="66"/>
      <c r="AU30" s="66"/>
      <c r="AV30" s="67"/>
      <c r="AW30" s="65"/>
      <c r="AX30" s="66"/>
      <c r="AY30" s="66"/>
      <c r="AZ30" s="66"/>
      <c r="BA30" s="67"/>
      <c r="BB30" s="65"/>
      <c r="BC30" s="66"/>
      <c r="BD30" s="66"/>
      <c r="BE30" s="87"/>
    </row>
    <row r="31" spans="1:57">
      <c r="A31" s="69"/>
      <c r="B31" s="126" t="s">
        <v>186</v>
      </c>
      <c r="C31" s="69"/>
      <c r="D31" s="69"/>
      <c r="E31" s="70"/>
      <c r="F31" s="65"/>
      <c r="G31" s="66"/>
      <c r="H31" s="66"/>
      <c r="I31" s="67"/>
      <c r="J31" s="65"/>
      <c r="K31" s="66"/>
      <c r="L31" s="66"/>
      <c r="M31" s="67"/>
      <c r="N31" s="65"/>
      <c r="O31" s="65"/>
      <c r="P31" s="65"/>
      <c r="Q31" s="65"/>
      <c r="R31" s="67"/>
      <c r="S31" s="65"/>
      <c r="T31" s="66"/>
      <c r="U31" s="66"/>
      <c r="V31" s="67"/>
      <c r="W31" s="65"/>
      <c r="X31" s="66"/>
      <c r="Y31" s="66"/>
      <c r="Z31" s="67"/>
      <c r="AA31" s="65"/>
      <c r="AB31" s="66"/>
      <c r="AC31" s="66"/>
      <c r="AD31" s="66"/>
      <c r="AE31" s="67"/>
      <c r="AF31" s="65"/>
      <c r="AG31" s="66"/>
      <c r="AH31" s="66"/>
      <c r="AI31" s="67"/>
      <c r="AJ31" s="65"/>
      <c r="AK31" s="66"/>
      <c r="AL31" s="66"/>
      <c r="AM31" s="66"/>
      <c r="AN31" s="67"/>
      <c r="AO31" s="65"/>
      <c r="AP31" s="66"/>
      <c r="AQ31" s="66"/>
      <c r="AR31" s="67"/>
      <c r="AS31" s="65"/>
      <c r="AT31" s="66"/>
      <c r="AU31" s="66"/>
      <c r="AV31" s="67"/>
      <c r="AW31" s="65"/>
      <c r="AX31" s="66"/>
      <c r="AY31" s="66"/>
      <c r="AZ31" s="66"/>
      <c r="BA31" s="67"/>
      <c r="BB31" s="65"/>
      <c r="BC31" s="66"/>
      <c r="BD31" s="66"/>
      <c r="BE31" s="87"/>
    </row>
    <row r="32" spans="1:57">
      <c r="A32" s="86"/>
      <c r="B32" s="86"/>
      <c r="C32" s="86"/>
      <c r="D32" s="86"/>
      <c r="E32" s="86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9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9"/>
    </row>
    <row r="33" spans="1:21">
      <c r="D33" t="s">
        <v>187</v>
      </c>
      <c r="E33" t="s">
        <v>171</v>
      </c>
      <c r="F33" s="111" t="s">
        <v>188</v>
      </c>
    </row>
    <row r="34" spans="1:21" ht="21.95">
      <c r="A34" s="133" t="s">
        <v>188</v>
      </c>
      <c r="F34" t="s">
        <v>189</v>
      </c>
      <c r="J34" t="s">
        <v>190</v>
      </c>
      <c r="M34" t="s">
        <v>191</v>
      </c>
      <c r="Q34" t="s">
        <v>192</v>
      </c>
      <c r="U34" t="s">
        <v>193</v>
      </c>
    </row>
    <row r="35" spans="1:21" ht="21.95">
      <c r="A35" s="134" t="s">
        <v>194</v>
      </c>
      <c r="E35" s="111"/>
      <c r="F35">
        <v>1</v>
      </c>
      <c r="G35" t="s">
        <v>195</v>
      </c>
      <c r="M35" t="s">
        <v>196</v>
      </c>
      <c r="Q35" t="s">
        <v>197</v>
      </c>
    </row>
    <row r="36" spans="1:21">
      <c r="E36" s="111"/>
      <c r="F36">
        <v>1</v>
      </c>
      <c r="G36" t="s">
        <v>195</v>
      </c>
      <c r="M36" t="s">
        <v>198</v>
      </c>
    </row>
    <row r="37" spans="1:21" ht="24">
      <c r="A37" s="135" t="s">
        <v>199</v>
      </c>
      <c r="E37" s="111"/>
      <c r="F37">
        <v>3</v>
      </c>
      <c r="G37" t="s">
        <v>195</v>
      </c>
    </row>
    <row r="38" spans="1:21">
      <c r="A38" s="111"/>
      <c r="E38" s="111"/>
      <c r="F38">
        <v>4</v>
      </c>
      <c r="G38" t="s">
        <v>195</v>
      </c>
    </row>
  </sheetData>
  <mergeCells count="15">
    <mergeCell ref="G1:H1"/>
    <mergeCell ref="G2:H2"/>
    <mergeCell ref="F3:BE3"/>
    <mergeCell ref="F4:I4"/>
    <mergeCell ref="J4:M4"/>
    <mergeCell ref="N4:R4"/>
    <mergeCell ref="S4:V4"/>
    <mergeCell ref="W4:Z4"/>
    <mergeCell ref="AA4:AE4"/>
    <mergeCell ref="AF4:AI4"/>
    <mergeCell ref="AJ4:AN4"/>
    <mergeCell ref="AO4:AR4"/>
    <mergeCell ref="AS4:AV4"/>
    <mergeCell ref="AW4:BA4"/>
    <mergeCell ref="BB4:BE4"/>
  </mergeCells>
  <hyperlinks>
    <hyperlink ref="J2" r:id="rId1" xr:uid="{5D92BBB1-91B5-4AA4-A945-955E5B69D9A9}"/>
  </hyperlinks>
  <pageMargins left="0.7" right="0.7" top="0.75" bottom="0.75" header="0.3" footer="0.3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B3EC1-9F34-424D-8E94-C1C7BCD38B42}">
  <sheetPr>
    <tabColor rgb="FF00B050"/>
  </sheetPr>
  <dimension ref="A1:AE78"/>
  <sheetViews>
    <sheetView showGridLines="0" topLeftCell="E1" workbookViewId="0">
      <selection activeCell="I35" sqref="I35"/>
    </sheetView>
  </sheetViews>
  <sheetFormatPr defaultColWidth="8.85546875" defaultRowHeight="15"/>
  <cols>
    <col min="1" max="1" width="0" hidden="1" customWidth="1"/>
    <col min="2" max="2" width="17" hidden="1" customWidth="1"/>
    <col min="3" max="3" width="45.28515625" hidden="1" customWidth="1"/>
    <col min="4" max="4" width="17.42578125" hidden="1" customWidth="1"/>
    <col min="5" max="5" width="22.42578125" customWidth="1"/>
    <col min="6" max="6" width="21.140625" customWidth="1"/>
    <col min="7" max="7" width="9.140625" customWidth="1"/>
    <col min="8" max="8" width="14.140625" customWidth="1"/>
    <col min="9" max="9" width="9.28515625" customWidth="1"/>
    <col min="10" max="11" width="6.42578125" customWidth="1"/>
    <col min="12" max="12" width="5.85546875" bestFit="1" customWidth="1"/>
    <col min="13" max="13" width="6" bestFit="1" customWidth="1"/>
    <col min="14" max="14" width="6.140625" bestFit="1" customWidth="1"/>
    <col min="15" max="15" width="5.85546875" bestFit="1" customWidth="1"/>
    <col min="16" max="16" width="6.28515625" bestFit="1" customWidth="1"/>
    <col min="17" max="17" width="5.85546875" bestFit="1" customWidth="1"/>
    <col min="18" max="19" width="6" bestFit="1" customWidth="1"/>
    <col min="20" max="20" width="6.140625" bestFit="1" customWidth="1"/>
    <col min="21" max="21" width="6" bestFit="1" customWidth="1"/>
  </cols>
  <sheetData>
    <row r="1" spans="1:31" ht="24">
      <c r="A1" s="22"/>
      <c r="B1" s="22"/>
      <c r="C1" s="23" t="s">
        <v>50</v>
      </c>
      <c r="D1" s="23" t="s">
        <v>50</v>
      </c>
      <c r="E1" s="23" t="s">
        <v>50</v>
      </c>
      <c r="F1" s="23" t="s">
        <v>50</v>
      </c>
      <c r="G1" s="23" t="s">
        <v>50</v>
      </c>
      <c r="H1" s="23" t="s">
        <v>50</v>
      </c>
      <c r="I1" s="23" t="s">
        <v>50</v>
      </c>
      <c r="J1" s="23" t="s">
        <v>50</v>
      </c>
      <c r="K1" s="23" t="s">
        <v>50</v>
      </c>
      <c r="L1" s="23" t="s">
        <v>50</v>
      </c>
      <c r="M1" s="23" t="s">
        <v>50</v>
      </c>
      <c r="N1" s="23" t="s">
        <v>50</v>
      </c>
      <c r="O1" s="23" t="s">
        <v>50</v>
      </c>
      <c r="P1" s="23" t="s">
        <v>50</v>
      </c>
      <c r="Q1" s="23" t="s">
        <v>50</v>
      </c>
      <c r="R1" s="23" t="s">
        <v>50</v>
      </c>
      <c r="S1" s="23" t="s">
        <v>50</v>
      </c>
      <c r="T1" s="23" t="s">
        <v>50</v>
      </c>
      <c r="U1" s="23" t="s">
        <v>50</v>
      </c>
      <c r="V1" s="23" t="s">
        <v>50</v>
      </c>
      <c r="W1" s="23" t="s">
        <v>50</v>
      </c>
      <c r="X1" s="24"/>
      <c r="Y1" s="24"/>
    </row>
    <row r="2" spans="1:31">
      <c r="A2" s="24"/>
      <c r="B2" s="24"/>
      <c r="C2" s="43" t="s">
        <v>84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Y2" s="24"/>
    </row>
    <row r="3" spans="1:31">
      <c r="A3" s="24"/>
      <c r="B3" s="24"/>
      <c r="C3" s="45" t="s">
        <v>85</v>
      </c>
      <c r="D3" s="45" t="s">
        <v>86</v>
      </c>
      <c r="E3" s="45" t="s">
        <v>57</v>
      </c>
      <c r="F3" s="45" t="s">
        <v>87</v>
      </c>
      <c r="G3" s="45" t="s">
        <v>59</v>
      </c>
      <c r="H3" s="45" t="s">
        <v>88</v>
      </c>
      <c r="I3" s="168" t="s">
        <v>56</v>
      </c>
      <c r="J3" s="28" t="s">
        <v>89</v>
      </c>
      <c r="K3" s="27" t="s">
        <v>90</v>
      </c>
      <c r="L3" s="28" t="s">
        <v>91</v>
      </c>
      <c r="M3" s="28" t="s">
        <v>92</v>
      </c>
      <c r="N3" s="28" t="s">
        <v>93</v>
      </c>
      <c r="O3" s="28" t="s">
        <v>94</v>
      </c>
      <c r="P3" s="28" t="s">
        <v>95</v>
      </c>
      <c r="Q3" s="28" t="s">
        <v>96</v>
      </c>
      <c r="R3" s="28" t="s">
        <v>97</v>
      </c>
      <c r="S3" s="28" t="s">
        <v>98</v>
      </c>
      <c r="T3" s="28" t="s">
        <v>99</v>
      </c>
      <c r="U3" s="28" t="s">
        <v>100</v>
      </c>
      <c r="V3" s="24"/>
      <c r="W3" s="24"/>
      <c r="X3" s="24"/>
      <c r="Y3" s="24"/>
    </row>
    <row r="4" spans="1:31" ht="15.95">
      <c r="A4" s="166"/>
      <c r="B4" s="46"/>
      <c r="C4" s="50" t="s">
        <v>101</v>
      </c>
      <c r="D4" s="51" t="s">
        <v>102</v>
      </c>
      <c r="E4" s="52" t="s">
        <v>103</v>
      </c>
      <c r="F4" s="31" t="s">
        <v>4</v>
      </c>
      <c r="G4" s="30" t="s">
        <v>65</v>
      </c>
      <c r="H4" s="31" t="s">
        <v>65</v>
      </c>
      <c r="I4" s="169" t="s">
        <v>104</v>
      </c>
      <c r="J4" s="172">
        <v>0</v>
      </c>
      <c r="K4" s="173">
        <v>0.1</v>
      </c>
      <c r="L4" s="174">
        <v>0.2</v>
      </c>
      <c r="M4" s="175">
        <v>0.2</v>
      </c>
      <c r="N4" s="175">
        <v>0.2</v>
      </c>
      <c r="O4" s="175">
        <v>0.2</v>
      </c>
      <c r="P4" s="175">
        <v>0.2</v>
      </c>
      <c r="Q4" s="175">
        <v>0.2</v>
      </c>
      <c r="R4" s="176">
        <v>0.2</v>
      </c>
      <c r="S4" s="176">
        <v>0.2</v>
      </c>
      <c r="T4" s="176">
        <v>0.2</v>
      </c>
      <c r="U4" s="176">
        <v>0.2</v>
      </c>
      <c r="W4" s="24"/>
      <c r="X4" s="24"/>
      <c r="Y4" s="24"/>
    </row>
    <row r="5" spans="1:31">
      <c r="A5" s="24"/>
      <c r="B5" s="24"/>
      <c r="C5" s="50" t="s">
        <v>101</v>
      </c>
      <c r="D5" s="50" t="s">
        <v>102</v>
      </c>
      <c r="E5" s="50" t="s">
        <v>39</v>
      </c>
      <c r="F5" s="50" t="s">
        <v>71</v>
      </c>
      <c r="G5" s="50" t="s">
        <v>105</v>
      </c>
      <c r="H5" s="50" t="s">
        <v>72</v>
      </c>
      <c r="I5" s="170" t="s">
        <v>106</v>
      </c>
      <c r="J5" s="177">
        <v>0</v>
      </c>
      <c r="K5" s="178">
        <v>0</v>
      </c>
      <c r="L5" s="178">
        <v>0.5</v>
      </c>
      <c r="M5" s="178">
        <v>0.5</v>
      </c>
      <c r="N5" s="178">
        <v>0.5</v>
      </c>
      <c r="O5" s="178">
        <v>0.5</v>
      </c>
      <c r="P5" s="178">
        <v>0.5</v>
      </c>
      <c r="Q5" s="178">
        <v>0.5</v>
      </c>
      <c r="R5" s="178">
        <v>0.5</v>
      </c>
      <c r="S5" s="178">
        <v>0.5</v>
      </c>
      <c r="T5" s="178">
        <v>0.5</v>
      </c>
      <c r="U5" s="178">
        <v>0.5</v>
      </c>
      <c r="V5" s="24"/>
      <c r="W5" s="167"/>
      <c r="X5" s="24"/>
      <c r="Y5" s="24"/>
    </row>
    <row r="6" spans="1:31">
      <c r="A6" s="24"/>
      <c r="B6" s="24"/>
      <c r="C6" s="50" t="s">
        <v>101</v>
      </c>
      <c r="D6" s="50" t="s">
        <v>102</v>
      </c>
      <c r="E6" s="50" t="s">
        <v>39</v>
      </c>
      <c r="F6" s="50" t="s">
        <v>107</v>
      </c>
      <c r="G6" s="50" t="s">
        <v>108</v>
      </c>
      <c r="H6" s="50" t="s">
        <v>108</v>
      </c>
      <c r="I6" s="170" t="s">
        <v>109</v>
      </c>
      <c r="J6" s="177">
        <v>0</v>
      </c>
      <c r="K6" s="178">
        <v>0</v>
      </c>
      <c r="L6" s="178">
        <v>1</v>
      </c>
      <c r="M6" s="178">
        <v>1</v>
      </c>
      <c r="N6" s="178">
        <v>1</v>
      </c>
      <c r="O6" s="178">
        <v>1</v>
      </c>
      <c r="P6" s="178">
        <v>1</v>
      </c>
      <c r="Q6" s="178">
        <v>1</v>
      </c>
      <c r="R6" s="178">
        <v>1</v>
      </c>
      <c r="S6" s="178">
        <v>1</v>
      </c>
      <c r="T6" s="178">
        <v>1</v>
      </c>
      <c r="U6" s="178">
        <v>1</v>
      </c>
      <c r="W6" s="24"/>
      <c r="X6" s="24"/>
      <c r="Y6" s="24"/>
    </row>
    <row r="7" spans="1:31" hidden="1">
      <c r="A7" s="24"/>
      <c r="B7" s="24"/>
      <c r="C7" s="50" t="s">
        <v>101</v>
      </c>
      <c r="D7" s="50" t="s">
        <v>102</v>
      </c>
      <c r="E7" s="50" t="s">
        <v>39</v>
      </c>
      <c r="F7" s="50" t="s">
        <v>110</v>
      </c>
      <c r="G7" s="50" t="e">
        <v>#N/A</v>
      </c>
      <c r="H7" s="50"/>
      <c r="I7" s="170"/>
      <c r="J7" s="177">
        <v>0</v>
      </c>
      <c r="K7" s="178">
        <v>0</v>
      </c>
      <c r="L7" s="178">
        <v>0</v>
      </c>
      <c r="M7" s="178">
        <v>0</v>
      </c>
      <c r="N7" s="178">
        <v>0</v>
      </c>
      <c r="O7" s="178">
        <v>0</v>
      </c>
      <c r="P7" s="178">
        <v>0</v>
      </c>
      <c r="Q7" s="178">
        <v>1</v>
      </c>
      <c r="R7" s="178">
        <v>1</v>
      </c>
      <c r="S7" s="178">
        <v>1</v>
      </c>
      <c r="T7" s="178">
        <v>1</v>
      </c>
      <c r="U7" s="178">
        <v>1</v>
      </c>
      <c r="V7" s="217" t="s">
        <v>111</v>
      </c>
      <c r="W7" s="24"/>
      <c r="X7" s="24"/>
      <c r="Y7" s="24"/>
    </row>
    <row r="8" spans="1:31" hidden="1">
      <c r="A8" s="24"/>
      <c r="B8" s="24"/>
      <c r="C8" s="50" t="s">
        <v>101</v>
      </c>
      <c r="D8" s="50" t="s">
        <v>102</v>
      </c>
      <c r="E8" s="50" t="s">
        <v>112</v>
      </c>
      <c r="F8" s="50" t="s">
        <v>110</v>
      </c>
      <c r="G8" s="50" t="e">
        <v>#N/A</v>
      </c>
      <c r="H8" s="50"/>
      <c r="I8" s="170"/>
      <c r="J8" s="177">
        <v>0</v>
      </c>
      <c r="K8" s="178">
        <v>0</v>
      </c>
      <c r="L8" s="178">
        <v>1</v>
      </c>
      <c r="M8" s="178">
        <v>1</v>
      </c>
      <c r="N8" s="178">
        <v>1</v>
      </c>
      <c r="O8" s="178">
        <v>0</v>
      </c>
      <c r="P8" s="178">
        <v>0</v>
      </c>
      <c r="Q8" s="178">
        <v>0</v>
      </c>
      <c r="R8" s="178">
        <v>0</v>
      </c>
      <c r="S8" s="178">
        <v>0</v>
      </c>
      <c r="T8" s="178">
        <v>0</v>
      </c>
      <c r="U8" s="178">
        <v>0</v>
      </c>
      <c r="W8" s="24"/>
      <c r="X8" s="24"/>
      <c r="Y8" s="24"/>
    </row>
    <row r="9" spans="1:31">
      <c r="A9" s="24"/>
      <c r="B9" s="24"/>
      <c r="C9" s="50" t="s">
        <v>101</v>
      </c>
      <c r="D9" s="50" t="s">
        <v>102</v>
      </c>
      <c r="E9" s="50" t="s">
        <v>67</v>
      </c>
      <c r="F9" s="50" t="s">
        <v>68</v>
      </c>
      <c r="G9" s="50" t="s">
        <v>69</v>
      </c>
      <c r="H9" s="50" t="s">
        <v>69</v>
      </c>
      <c r="I9" s="170" t="s">
        <v>106</v>
      </c>
      <c r="J9" s="177">
        <v>0</v>
      </c>
      <c r="K9" s="178">
        <v>0</v>
      </c>
      <c r="L9" s="178">
        <v>0.2</v>
      </c>
      <c r="M9" s="178">
        <v>0.2</v>
      </c>
      <c r="N9" s="178">
        <v>0</v>
      </c>
      <c r="O9" s="178">
        <v>0</v>
      </c>
      <c r="P9" s="178">
        <v>0</v>
      </c>
      <c r="Q9" s="178">
        <v>0</v>
      </c>
      <c r="R9" s="178">
        <v>0</v>
      </c>
      <c r="S9" s="178">
        <v>0</v>
      </c>
      <c r="T9" s="178">
        <v>0</v>
      </c>
      <c r="U9" s="178">
        <v>0</v>
      </c>
      <c r="W9" s="24"/>
      <c r="X9" s="24"/>
      <c r="Y9" s="24"/>
    </row>
    <row r="10" spans="1:31">
      <c r="A10" s="24"/>
      <c r="B10" s="24"/>
      <c r="C10" s="50" t="s">
        <v>101</v>
      </c>
      <c r="D10" s="50" t="s">
        <v>102</v>
      </c>
      <c r="E10" s="50" t="s">
        <v>44</v>
      </c>
      <c r="F10" s="50" t="s">
        <v>76</v>
      </c>
      <c r="G10" s="50" t="s">
        <v>77</v>
      </c>
      <c r="H10" s="50" t="s">
        <v>77</v>
      </c>
      <c r="I10" s="170" t="s">
        <v>106</v>
      </c>
      <c r="J10" s="177">
        <v>0</v>
      </c>
      <c r="K10" s="178">
        <v>0</v>
      </c>
      <c r="L10" s="178">
        <v>0.2</v>
      </c>
      <c r="M10" s="178">
        <v>0.2</v>
      </c>
      <c r="N10" s="178">
        <v>0.2</v>
      </c>
      <c r="O10" s="178">
        <v>0.2</v>
      </c>
      <c r="P10" s="178">
        <v>0.2</v>
      </c>
      <c r="Q10" s="178">
        <v>0.2</v>
      </c>
      <c r="R10" s="178">
        <v>0.2</v>
      </c>
      <c r="S10" s="178">
        <v>0.2</v>
      </c>
      <c r="T10" s="178">
        <v>0.2</v>
      </c>
      <c r="U10" s="178" t="s">
        <v>113</v>
      </c>
      <c r="W10" s="24"/>
      <c r="X10" s="24"/>
      <c r="Y10" s="24"/>
      <c r="Z10" s="24"/>
      <c r="AA10" s="24"/>
      <c r="AB10" s="24"/>
      <c r="AC10" s="24"/>
      <c r="AD10" s="24"/>
      <c r="AE10" s="24"/>
    </row>
    <row r="11" spans="1:31">
      <c r="A11" s="24"/>
      <c r="B11" s="24"/>
      <c r="C11" s="50" t="s">
        <v>101</v>
      </c>
      <c r="D11" s="50" t="s">
        <v>102</v>
      </c>
      <c r="E11" s="50" t="s">
        <v>114</v>
      </c>
      <c r="F11" s="50" t="s">
        <v>78</v>
      </c>
      <c r="G11" s="50" t="s">
        <v>79</v>
      </c>
      <c r="H11" s="50" t="s">
        <v>79</v>
      </c>
      <c r="I11" s="170" t="s">
        <v>106</v>
      </c>
      <c r="J11" s="179">
        <v>0</v>
      </c>
      <c r="K11" s="180">
        <v>0</v>
      </c>
      <c r="L11" s="180">
        <v>0.1</v>
      </c>
      <c r="M11" s="180">
        <v>0.1</v>
      </c>
      <c r="N11" s="180">
        <v>0</v>
      </c>
      <c r="O11" s="180">
        <v>0.05</v>
      </c>
      <c r="P11" s="180">
        <v>0.05</v>
      </c>
      <c r="Q11" s="180">
        <v>0.05</v>
      </c>
      <c r="R11" s="180">
        <v>0.05</v>
      </c>
      <c r="S11" s="180">
        <v>0.05</v>
      </c>
      <c r="T11" s="180">
        <v>0.05</v>
      </c>
      <c r="U11" s="180" t="s">
        <v>115</v>
      </c>
      <c r="W11" s="24"/>
      <c r="X11" s="24"/>
      <c r="Y11" s="24"/>
      <c r="Z11" s="24"/>
      <c r="AA11" s="24"/>
      <c r="AB11" s="24"/>
      <c r="AC11" s="24"/>
      <c r="AD11" s="24"/>
      <c r="AE11" s="24"/>
    </row>
    <row r="12" spans="1:31">
      <c r="A12" s="24"/>
      <c r="B12" s="24"/>
      <c r="C12" s="24"/>
      <c r="D12" s="24"/>
      <c r="E12" s="24"/>
      <c r="F12" s="24"/>
      <c r="G12" s="24"/>
      <c r="I12" s="24"/>
      <c r="J12" s="171">
        <f>SUM(J4:J11)</f>
        <v>0</v>
      </c>
      <c r="K12" s="171">
        <f>SUM(K4:K11)</f>
        <v>0.1</v>
      </c>
      <c r="L12" s="171">
        <f t="shared" ref="L12:U12" si="0">SUM(L4:L11)</f>
        <v>3.2000000000000006</v>
      </c>
      <c r="M12" s="171">
        <f t="shared" si="0"/>
        <v>3.2000000000000006</v>
      </c>
      <c r="N12" s="171">
        <f t="shared" si="0"/>
        <v>2.9000000000000004</v>
      </c>
      <c r="O12" s="171">
        <f t="shared" si="0"/>
        <v>1.95</v>
      </c>
      <c r="P12" s="171">
        <f t="shared" si="0"/>
        <v>1.95</v>
      </c>
      <c r="Q12" s="171">
        <f t="shared" si="0"/>
        <v>2.95</v>
      </c>
      <c r="R12" s="171">
        <f t="shared" si="0"/>
        <v>2.95</v>
      </c>
      <c r="S12" s="171">
        <f t="shared" si="0"/>
        <v>2.95</v>
      </c>
      <c r="T12" s="171">
        <f t="shared" si="0"/>
        <v>2.95</v>
      </c>
      <c r="U12" s="171">
        <f t="shared" si="0"/>
        <v>2.7</v>
      </c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 spans="1:31" ht="24">
      <c r="A13" s="24"/>
      <c r="B13" s="24"/>
      <c r="C13" s="120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 spans="1:3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 spans="1:3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 spans="1:3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 spans="1:3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 spans="1:3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 spans="1:3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</row>
    <row r="20" spans="1:3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1" spans="1:3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</row>
    <row r="22" spans="1:3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</row>
    <row r="23" spans="1:3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</row>
    <row r="24" spans="1:3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</row>
    <row r="25" spans="1:3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</row>
    <row r="26" spans="1:3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</row>
    <row r="27" spans="1:3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</row>
    <row r="28" spans="1:3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</row>
    <row r="29" spans="1:3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</row>
    <row r="31" spans="1: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</row>
    <row r="32" spans="1:3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</row>
    <row r="33" spans="1: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spans="1: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spans="1: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spans="1: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spans="1: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spans="1:2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spans="1: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spans="1: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spans="1: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spans="1:2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1: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1: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spans="1: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spans="1: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spans="1: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1:2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spans="1: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spans="1: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1: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spans="1: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spans="1: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spans="1: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spans="1: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spans="1: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spans="1: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spans="1: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spans="1: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spans="1: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spans="1: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spans="1: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spans="1: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spans="1: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spans="1: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spans="1: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spans="1: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spans="1:2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spans="1: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spans="1: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spans="1:2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spans="1:2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spans="1:2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spans="1:2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spans="1:2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spans="1:2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spans="1:2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spans="1:2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</sheetData>
  <autoFilter ref="A3:AE3" xr:uid="{5E6FF015-6D77-4827-B783-5F057AF6A9B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7798-0535-48BE-A9B2-20E10B618FC5}">
  <sheetPr>
    <tabColor rgb="FF00B050"/>
  </sheetPr>
  <dimension ref="A1:BT124"/>
  <sheetViews>
    <sheetView showGridLines="0" tabSelected="1" zoomScale="85" zoomScaleNormal="85" workbookViewId="0">
      <selection activeCell="G19" sqref="G19"/>
    </sheetView>
  </sheetViews>
  <sheetFormatPr defaultColWidth="8.85546875" defaultRowHeight="15" customHeight="1"/>
  <cols>
    <col min="1" max="1" width="34.42578125" customWidth="1"/>
    <col min="2" max="2" width="47.7109375" customWidth="1"/>
    <col min="3" max="3" width="16.42578125" customWidth="1"/>
    <col min="4" max="4" width="25.28515625" hidden="1" customWidth="1"/>
    <col min="5" max="5" width="15.85546875" customWidth="1"/>
    <col min="6" max="6" width="16" hidden="1" customWidth="1"/>
    <col min="7" max="7" width="15.140625" customWidth="1"/>
    <col min="8" max="8" width="17" bestFit="1" customWidth="1"/>
    <col min="9" max="60" width="5.7109375" customWidth="1"/>
    <col min="61" max="72" width="5" customWidth="1"/>
  </cols>
  <sheetData>
    <row r="1" spans="1:72" ht="18.95">
      <c r="A1" s="109" t="s">
        <v>135</v>
      </c>
      <c r="B1" s="211">
        <f>SUMPRODUCT(Table1[[Duration ]],Table1[% Progress])/SUM(Table1[[Duration ]])</f>
        <v>0.62888888888888894</v>
      </c>
      <c r="C1" s="252"/>
      <c r="D1" s="218"/>
      <c r="E1" s="218"/>
      <c r="F1" s="118"/>
      <c r="G1" s="118" t="s">
        <v>137</v>
      </c>
      <c r="H1" s="117">
        <v>46083</v>
      </c>
      <c r="I1" s="119" t="s">
        <v>138</v>
      </c>
      <c r="J1" s="281">
        <v>46027</v>
      </c>
      <c r="K1" s="281"/>
      <c r="L1" s="212"/>
      <c r="M1" t="s">
        <v>200</v>
      </c>
      <c r="R1" s="213"/>
      <c r="S1" t="s">
        <v>201</v>
      </c>
      <c r="BH1" s="155" t="s">
        <v>202</v>
      </c>
    </row>
    <row r="2" spans="1:72" ht="18.95">
      <c r="A2" s="109" t="s">
        <v>139</v>
      </c>
      <c r="B2" s="230">
        <f ca="1">(TODAY()-MIN(C7:C23))/(MAX(E7:E23)-MIN(C7:C23))</f>
        <v>0.55799373040752354</v>
      </c>
      <c r="C2" s="218"/>
      <c r="D2" s="218"/>
      <c r="E2" s="218"/>
      <c r="F2" s="118"/>
      <c r="G2" s="118" t="s">
        <v>140</v>
      </c>
      <c r="H2" s="117">
        <v>46383</v>
      </c>
      <c r="I2" s="125"/>
      <c r="J2" s="282"/>
      <c r="K2" s="282"/>
      <c r="L2" s="130" t="s">
        <v>142</v>
      </c>
      <c r="M2" s="129" t="s">
        <v>143</v>
      </c>
      <c r="Q2" s="111"/>
      <c r="AH2" s="155" t="s">
        <v>203</v>
      </c>
      <c r="AY2" s="155" t="s">
        <v>204</v>
      </c>
      <c r="BF2" s="155" t="s">
        <v>205</v>
      </c>
    </row>
    <row r="3" spans="1:72">
      <c r="A3" s="231" t="s">
        <v>206</v>
      </c>
      <c r="I3" s="283" t="s">
        <v>144</v>
      </c>
      <c r="J3" s="284"/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4"/>
      <c r="AP3" s="284"/>
      <c r="AQ3" s="284"/>
      <c r="AR3" s="284"/>
      <c r="AS3" s="284"/>
      <c r="AT3" s="284"/>
      <c r="AU3" s="284"/>
      <c r="AV3" s="284"/>
      <c r="AW3" s="284"/>
      <c r="AX3" s="284"/>
      <c r="AY3" s="284"/>
      <c r="AZ3" s="284"/>
      <c r="BA3" s="284"/>
      <c r="BB3" s="284"/>
      <c r="BC3" s="284"/>
      <c r="BD3" s="284"/>
      <c r="BE3" s="284"/>
      <c r="BF3" s="284"/>
      <c r="BG3" s="284"/>
      <c r="BH3" s="285"/>
      <c r="BI3" s="279" t="s">
        <v>207</v>
      </c>
      <c r="BJ3" s="280"/>
      <c r="BK3" s="280"/>
      <c r="BL3" s="280"/>
      <c r="BM3" s="280"/>
      <c r="BN3" s="280"/>
      <c r="BO3" s="280"/>
      <c r="BP3" s="280"/>
      <c r="BQ3" s="280"/>
      <c r="BR3" s="280"/>
      <c r="BS3" s="280"/>
      <c r="BT3" s="280"/>
    </row>
    <row r="4" spans="1:72">
      <c r="I4" s="286">
        <v>46037</v>
      </c>
      <c r="J4" s="287"/>
      <c r="K4" s="287"/>
      <c r="L4" s="288"/>
      <c r="M4" s="287">
        <f>P5</f>
        <v>46076</v>
      </c>
      <c r="N4" s="287"/>
      <c r="O4" s="287"/>
      <c r="P4" s="289"/>
      <c r="Q4" s="290">
        <f>U5</f>
        <v>46111</v>
      </c>
      <c r="R4" s="287"/>
      <c r="S4" s="287"/>
      <c r="T4" s="287"/>
      <c r="U4" s="289"/>
      <c r="V4" s="290">
        <f>Y5</f>
        <v>46139</v>
      </c>
      <c r="W4" s="287"/>
      <c r="X4" s="287"/>
      <c r="Y4" s="289"/>
      <c r="Z4" s="290">
        <f>AC5</f>
        <v>46167</v>
      </c>
      <c r="AA4" s="287"/>
      <c r="AB4" s="287"/>
      <c r="AC4" s="289"/>
      <c r="AD4" s="290">
        <f>AH5</f>
        <v>46202</v>
      </c>
      <c r="AE4" s="287"/>
      <c r="AF4" s="287"/>
      <c r="AG4" s="287"/>
      <c r="AH4" s="289"/>
      <c r="AI4" s="290">
        <f>AL5</f>
        <v>46230</v>
      </c>
      <c r="AJ4" s="287"/>
      <c r="AK4" s="287"/>
      <c r="AL4" s="289"/>
      <c r="AM4" s="290">
        <f>AQ5</f>
        <v>46265</v>
      </c>
      <c r="AN4" s="287"/>
      <c r="AO4" s="287"/>
      <c r="AP4" s="287"/>
      <c r="AQ4" s="289"/>
      <c r="AR4" s="290">
        <f>AU5</f>
        <v>46293</v>
      </c>
      <c r="AS4" s="287"/>
      <c r="AT4" s="287"/>
      <c r="AU4" s="289"/>
      <c r="AV4" s="290">
        <f>AY5</f>
        <v>46321</v>
      </c>
      <c r="AW4" s="287"/>
      <c r="AX4" s="287"/>
      <c r="AY4" s="289"/>
      <c r="AZ4" s="290">
        <f>BD5</f>
        <v>46356</v>
      </c>
      <c r="BA4" s="287"/>
      <c r="BB4" s="287"/>
      <c r="BC4" s="287"/>
      <c r="BD4" s="289"/>
      <c r="BE4" s="290">
        <f>BH5</f>
        <v>46384</v>
      </c>
      <c r="BF4" s="287"/>
      <c r="BG4" s="287"/>
      <c r="BH4" s="289"/>
      <c r="BI4" s="290">
        <f>BL5</f>
        <v>46412</v>
      </c>
      <c r="BJ4" s="287"/>
      <c r="BK4" s="287"/>
      <c r="BL4" s="289"/>
      <c r="BM4" s="290">
        <f>BP5</f>
        <v>46440</v>
      </c>
      <c r="BN4" s="287"/>
      <c r="BO4" s="287"/>
      <c r="BP4" s="289"/>
      <c r="BQ4" s="290">
        <f>BT5</f>
        <v>46468</v>
      </c>
      <c r="BR4" s="287"/>
      <c r="BS4" s="287"/>
      <c r="BT4" s="289"/>
    </row>
    <row r="5" spans="1:72" ht="18.95">
      <c r="A5" s="156" t="s">
        <v>208</v>
      </c>
      <c r="B5" s="85"/>
      <c r="C5" s="85"/>
      <c r="D5" s="85"/>
      <c r="E5" s="85">
        <v>4</v>
      </c>
      <c r="I5" s="58">
        <f>J1</f>
        <v>46027</v>
      </c>
      <c r="J5" s="59">
        <f>I5+7</f>
        <v>46034</v>
      </c>
      <c r="K5" s="59">
        <f t="shared" ref="K5:U5" si="0">J5+7</f>
        <v>46041</v>
      </c>
      <c r="L5" s="60">
        <f t="shared" si="0"/>
        <v>46048</v>
      </c>
      <c r="M5" s="61">
        <f t="shared" si="0"/>
        <v>46055</v>
      </c>
      <c r="N5" s="59">
        <f t="shared" si="0"/>
        <v>46062</v>
      </c>
      <c r="O5" s="59">
        <f t="shared" si="0"/>
        <v>46069</v>
      </c>
      <c r="P5" s="62">
        <f t="shared" si="0"/>
        <v>46076</v>
      </c>
      <c r="Q5" s="61">
        <f>P5+7</f>
        <v>46083</v>
      </c>
      <c r="R5" s="59">
        <f t="shared" si="0"/>
        <v>46090</v>
      </c>
      <c r="S5" s="59">
        <f t="shared" si="0"/>
        <v>46097</v>
      </c>
      <c r="T5" s="59">
        <f t="shared" si="0"/>
        <v>46104</v>
      </c>
      <c r="U5" s="62">
        <f t="shared" si="0"/>
        <v>46111</v>
      </c>
      <c r="V5" s="61">
        <f>U5+7</f>
        <v>46118</v>
      </c>
      <c r="W5" s="59">
        <f t="shared" ref="W5:X5" si="1">V5+7</f>
        <v>46125</v>
      </c>
      <c r="X5" s="59">
        <f t="shared" si="1"/>
        <v>46132</v>
      </c>
      <c r="Y5" s="62">
        <f>X5+7</f>
        <v>46139</v>
      </c>
      <c r="Z5" s="61">
        <f>Y5+7</f>
        <v>46146</v>
      </c>
      <c r="AA5" s="59">
        <f t="shared" ref="AA5:AB5" si="2">Z5+7</f>
        <v>46153</v>
      </c>
      <c r="AB5" s="59">
        <f t="shared" si="2"/>
        <v>46160</v>
      </c>
      <c r="AC5" s="62">
        <f>AB5+7</f>
        <v>46167</v>
      </c>
      <c r="AD5" s="61">
        <f>AC5+7</f>
        <v>46174</v>
      </c>
      <c r="AE5" s="59">
        <f t="shared" ref="AE5:AG5" si="3">AD5+7</f>
        <v>46181</v>
      </c>
      <c r="AF5" s="59">
        <f t="shared" si="3"/>
        <v>46188</v>
      </c>
      <c r="AG5" s="59">
        <f t="shared" si="3"/>
        <v>46195</v>
      </c>
      <c r="AH5" s="62">
        <f>AG5+7</f>
        <v>46202</v>
      </c>
      <c r="AI5" s="61">
        <f>AH5+7</f>
        <v>46209</v>
      </c>
      <c r="AJ5" s="59">
        <f t="shared" ref="AJ5:AK5" si="4">AI5+7</f>
        <v>46216</v>
      </c>
      <c r="AK5" s="59">
        <f t="shared" si="4"/>
        <v>46223</v>
      </c>
      <c r="AL5" s="62">
        <f>AK5+7</f>
        <v>46230</v>
      </c>
      <c r="AM5" s="61">
        <f>AL5+7</f>
        <v>46237</v>
      </c>
      <c r="AN5" s="59">
        <f>AM5+7</f>
        <v>46244</v>
      </c>
      <c r="AO5" s="59">
        <f t="shared" ref="AO5:AQ5" si="5">AN5+7</f>
        <v>46251</v>
      </c>
      <c r="AP5" s="59">
        <f t="shared" si="5"/>
        <v>46258</v>
      </c>
      <c r="AQ5" s="62">
        <f t="shared" si="5"/>
        <v>46265</v>
      </c>
      <c r="AR5" s="61">
        <f>AQ5+7</f>
        <v>46272</v>
      </c>
      <c r="AS5" s="59">
        <f t="shared" ref="AS5:AT5" si="6">AR5+7</f>
        <v>46279</v>
      </c>
      <c r="AT5" s="59">
        <f t="shared" si="6"/>
        <v>46286</v>
      </c>
      <c r="AU5" s="62">
        <f>AT5+7</f>
        <v>46293</v>
      </c>
      <c r="AV5" s="61">
        <f>AU5+7</f>
        <v>46300</v>
      </c>
      <c r="AW5" s="59">
        <f t="shared" ref="AW5:AX5" si="7">AV5+7</f>
        <v>46307</v>
      </c>
      <c r="AX5" s="59">
        <f t="shared" si="7"/>
        <v>46314</v>
      </c>
      <c r="AY5" s="62">
        <f>AX5+7</f>
        <v>46321</v>
      </c>
      <c r="AZ5" s="61">
        <f t="shared" ref="AZ5:BD5" si="8">AY5+7</f>
        <v>46328</v>
      </c>
      <c r="BA5" s="59">
        <f t="shared" si="8"/>
        <v>46335</v>
      </c>
      <c r="BB5" s="59">
        <f t="shared" si="8"/>
        <v>46342</v>
      </c>
      <c r="BC5" s="59">
        <f t="shared" si="8"/>
        <v>46349</v>
      </c>
      <c r="BD5" s="62">
        <f t="shared" si="8"/>
        <v>46356</v>
      </c>
      <c r="BE5" s="61">
        <f>BD5+7</f>
        <v>46363</v>
      </c>
      <c r="BF5" s="59">
        <f t="shared" ref="BF5:BG5" si="9">BE5+7</f>
        <v>46370</v>
      </c>
      <c r="BG5" s="59">
        <f t="shared" si="9"/>
        <v>46377</v>
      </c>
      <c r="BH5" s="62">
        <f>BG5+7</f>
        <v>46384</v>
      </c>
      <c r="BI5" s="61">
        <f>BH5+7</f>
        <v>46391</v>
      </c>
      <c r="BJ5" s="59">
        <f t="shared" ref="BJ5" si="10">BI5+7</f>
        <v>46398</v>
      </c>
      <c r="BK5" s="59">
        <f t="shared" ref="BK5" si="11">BJ5+7</f>
        <v>46405</v>
      </c>
      <c r="BL5" s="62">
        <f>BK5+7</f>
        <v>46412</v>
      </c>
      <c r="BM5" s="61">
        <f>BL5+7</f>
        <v>46419</v>
      </c>
      <c r="BN5" s="59">
        <f t="shared" ref="BN5" si="12">BM5+7</f>
        <v>46426</v>
      </c>
      <c r="BO5" s="59">
        <f t="shared" ref="BO5" si="13">BN5+7</f>
        <v>46433</v>
      </c>
      <c r="BP5" s="62">
        <f>BO5+7</f>
        <v>46440</v>
      </c>
      <c r="BQ5" s="61">
        <f>BP5+7</f>
        <v>46447</v>
      </c>
      <c r="BR5" s="59">
        <f t="shared" ref="BR5" si="14">BQ5+7</f>
        <v>46454</v>
      </c>
      <c r="BS5" s="59">
        <f t="shared" ref="BS5" si="15">BR5+7</f>
        <v>46461</v>
      </c>
      <c r="BT5" s="62">
        <f>BS5+7</f>
        <v>46468</v>
      </c>
    </row>
    <row r="6" spans="1:72">
      <c r="A6" s="92" t="s">
        <v>146</v>
      </c>
      <c r="B6" s="92" t="s">
        <v>147</v>
      </c>
      <c r="C6" s="92" t="s">
        <v>138</v>
      </c>
      <c r="D6" s="92" t="s">
        <v>209</v>
      </c>
      <c r="E6" s="92" t="s">
        <v>210</v>
      </c>
      <c r="F6" s="92" t="s">
        <v>148</v>
      </c>
      <c r="G6" s="227" t="s">
        <v>149</v>
      </c>
      <c r="H6" s="93" t="s">
        <v>15</v>
      </c>
      <c r="I6" s="63" t="s">
        <v>150</v>
      </c>
      <c r="J6" s="63" t="s">
        <v>151</v>
      </c>
      <c r="K6" s="63" t="s">
        <v>152</v>
      </c>
      <c r="L6" s="63" t="s">
        <v>153</v>
      </c>
      <c r="M6" s="63" t="s">
        <v>150</v>
      </c>
      <c r="N6" s="63" t="s">
        <v>151</v>
      </c>
      <c r="O6" s="63" t="s">
        <v>152</v>
      </c>
      <c r="P6" s="63" t="s">
        <v>153</v>
      </c>
      <c r="Q6" s="63" t="s">
        <v>150</v>
      </c>
      <c r="R6" s="63" t="s">
        <v>151</v>
      </c>
      <c r="S6" s="63" t="s">
        <v>152</v>
      </c>
      <c r="T6" s="63" t="s">
        <v>153</v>
      </c>
      <c r="U6" s="63" t="s">
        <v>154</v>
      </c>
      <c r="V6" s="63" t="s">
        <v>150</v>
      </c>
      <c r="W6" s="63" t="s">
        <v>151</v>
      </c>
      <c r="X6" s="63" t="s">
        <v>152</v>
      </c>
      <c r="Y6" s="63" t="s">
        <v>153</v>
      </c>
      <c r="Z6" s="63" t="s">
        <v>150</v>
      </c>
      <c r="AA6" s="63" t="s">
        <v>151</v>
      </c>
      <c r="AB6" s="63" t="s">
        <v>152</v>
      </c>
      <c r="AC6" s="63" t="s">
        <v>153</v>
      </c>
      <c r="AD6" s="63" t="s">
        <v>150</v>
      </c>
      <c r="AE6" s="63" t="s">
        <v>151</v>
      </c>
      <c r="AF6" s="63" t="s">
        <v>152</v>
      </c>
      <c r="AG6" s="63" t="s">
        <v>153</v>
      </c>
      <c r="AH6" s="63" t="s">
        <v>154</v>
      </c>
      <c r="AI6" s="63" t="s">
        <v>150</v>
      </c>
      <c r="AJ6" s="63" t="s">
        <v>151</v>
      </c>
      <c r="AK6" s="63" t="s">
        <v>152</v>
      </c>
      <c r="AL6" s="63" t="s">
        <v>153</v>
      </c>
      <c r="AM6" s="63" t="s">
        <v>150</v>
      </c>
      <c r="AN6" s="63" t="s">
        <v>151</v>
      </c>
      <c r="AO6" s="63" t="s">
        <v>152</v>
      </c>
      <c r="AP6" s="63" t="s">
        <v>153</v>
      </c>
      <c r="AQ6" s="63" t="s">
        <v>154</v>
      </c>
      <c r="AR6" s="63" t="s">
        <v>150</v>
      </c>
      <c r="AS6" s="63" t="s">
        <v>151</v>
      </c>
      <c r="AT6" s="63" t="s">
        <v>152</v>
      </c>
      <c r="AU6" s="63" t="s">
        <v>153</v>
      </c>
      <c r="AV6" s="63" t="s">
        <v>150</v>
      </c>
      <c r="AW6" s="63" t="s">
        <v>151</v>
      </c>
      <c r="AX6" s="63" t="s">
        <v>152</v>
      </c>
      <c r="AY6" s="63" t="s">
        <v>153</v>
      </c>
      <c r="AZ6" s="63" t="s">
        <v>150</v>
      </c>
      <c r="BA6" s="63" t="s">
        <v>151</v>
      </c>
      <c r="BB6" s="63" t="s">
        <v>152</v>
      </c>
      <c r="BC6" s="63" t="s">
        <v>153</v>
      </c>
      <c r="BD6" s="63" t="s">
        <v>154</v>
      </c>
      <c r="BE6" s="63" t="s">
        <v>150</v>
      </c>
      <c r="BF6" s="63" t="s">
        <v>151</v>
      </c>
      <c r="BG6" s="63" t="s">
        <v>152</v>
      </c>
      <c r="BH6" s="63" t="s">
        <v>153</v>
      </c>
      <c r="BI6" s="63" t="s">
        <v>150</v>
      </c>
      <c r="BJ6" s="63" t="s">
        <v>151</v>
      </c>
      <c r="BK6" s="63" t="s">
        <v>152</v>
      </c>
      <c r="BL6" s="63" t="s">
        <v>153</v>
      </c>
      <c r="BM6" s="63" t="s">
        <v>150</v>
      </c>
      <c r="BN6" s="63" t="s">
        <v>151</v>
      </c>
      <c r="BO6" s="63" t="s">
        <v>152</v>
      </c>
      <c r="BP6" s="63" t="s">
        <v>153</v>
      </c>
      <c r="BQ6" s="63" t="s">
        <v>150</v>
      </c>
      <c r="BR6" s="63" t="s">
        <v>151</v>
      </c>
      <c r="BS6" s="63" t="s">
        <v>152</v>
      </c>
      <c r="BT6" s="63" t="s">
        <v>153</v>
      </c>
    </row>
    <row r="7" spans="1:72">
      <c r="A7" s="102" t="s">
        <v>155</v>
      </c>
      <c r="B7" s="94"/>
      <c r="C7" s="219"/>
      <c r="D7" s="219"/>
      <c r="E7" s="219"/>
      <c r="F7" s="225" t="s">
        <v>211</v>
      </c>
      <c r="G7" s="228" t="s">
        <v>50</v>
      </c>
      <c r="H7" s="105" t="s">
        <v>212</v>
      </c>
      <c r="I7" s="97"/>
      <c r="J7" s="98"/>
      <c r="K7" s="98"/>
      <c r="L7" s="99"/>
      <c r="M7" s="98"/>
      <c r="N7" s="98"/>
      <c r="O7" s="73"/>
      <c r="P7" s="74"/>
      <c r="Q7" s="73"/>
      <c r="R7" s="72"/>
      <c r="S7" s="73"/>
      <c r="T7" s="73"/>
      <c r="U7" s="74"/>
      <c r="V7" s="72"/>
      <c r="W7" s="66"/>
      <c r="X7" s="66"/>
      <c r="Y7" s="67"/>
      <c r="Z7" s="65"/>
      <c r="AA7" s="66"/>
      <c r="AB7" s="66"/>
      <c r="AC7" s="67"/>
      <c r="AD7" s="65"/>
      <c r="AE7" s="66"/>
      <c r="AF7" s="66"/>
      <c r="AG7" s="66"/>
      <c r="AH7" s="67"/>
      <c r="AI7" s="65"/>
      <c r="AJ7" s="66"/>
      <c r="AK7" s="66"/>
      <c r="AL7" s="67"/>
      <c r="AM7" s="65"/>
      <c r="AN7" s="66"/>
      <c r="AO7" s="66"/>
      <c r="AP7" s="66"/>
      <c r="AQ7" s="67"/>
      <c r="AR7" s="65"/>
      <c r="AS7" s="66"/>
      <c r="AT7" s="66"/>
      <c r="AU7" s="67"/>
      <c r="AV7" s="65"/>
      <c r="AW7" s="66"/>
      <c r="AX7" s="66"/>
      <c r="AY7" s="67"/>
      <c r="AZ7" s="65"/>
      <c r="BA7" s="66"/>
      <c r="BB7" s="66"/>
      <c r="BC7" s="66"/>
      <c r="BD7" s="67"/>
      <c r="BE7" s="65"/>
      <c r="BF7" s="66"/>
      <c r="BG7" s="66"/>
      <c r="BH7" s="67"/>
      <c r="BI7" s="65"/>
      <c r="BJ7" s="66"/>
      <c r="BK7" s="66"/>
      <c r="BL7" s="67"/>
      <c r="BM7" s="65"/>
      <c r="BN7" s="66"/>
      <c r="BO7" s="66"/>
      <c r="BP7" s="67"/>
      <c r="BQ7" s="65"/>
      <c r="BR7" s="66"/>
      <c r="BS7" s="66"/>
      <c r="BT7" s="67"/>
    </row>
    <row r="8" spans="1:72">
      <c r="A8" s="68"/>
      <c r="B8" s="69" t="s">
        <v>158</v>
      </c>
      <c r="C8" s="220">
        <v>46069</v>
      </c>
      <c r="D8" s="220">
        <v>46090</v>
      </c>
      <c r="E8" s="220">
        <f>Table1[[#This Row],[End 1 (for calculation)]]+$E$5</f>
        <v>46094</v>
      </c>
      <c r="F8" s="233">
        <f>5*4</f>
        <v>20</v>
      </c>
      <c r="G8" s="229">
        <v>1</v>
      </c>
      <c r="H8" s="69"/>
      <c r="I8" s="65"/>
      <c r="J8" s="66"/>
      <c r="K8" s="66"/>
      <c r="L8" s="67"/>
      <c r="M8" s="65"/>
      <c r="N8" s="66"/>
      <c r="O8" s="100"/>
      <c r="P8" s="101"/>
      <c r="Q8" s="100"/>
      <c r="R8" s="112"/>
      <c r="S8" s="65"/>
      <c r="T8" s="65"/>
      <c r="U8" s="67"/>
      <c r="V8" s="65"/>
      <c r="W8" s="66"/>
      <c r="X8" s="66"/>
      <c r="Y8" s="67"/>
      <c r="Z8" s="65"/>
      <c r="AA8" s="66"/>
      <c r="AB8" s="66"/>
      <c r="AC8" s="67"/>
      <c r="AD8" s="65"/>
      <c r="AE8" s="66"/>
      <c r="AF8" s="66"/>
      <c r="AG8" s="66"/>
      <c r="AH8" s="67"/>
      <c r="AI8" s="65"/>
      <c r="AJ8" s="66"/>
      <c r="AK8" s="66"/>
      <c r="AL8" s="67"/>
      <c r="AM8" s="65"/>
      <c r="AN8" s="66"/>
      <c r="AO8" s="66"/>
      <c r="AP8" s="66"/>
      <c r="AQ8" s="67"/>
      <c r="AR8" s="65"/>
      <c r="AS8" s="66"/>
      <c r="AT8" s="66"/>
      <c r="AU8" s="67"/>
      <c r="AV8" s="65"/>
      <c r="AW8" s="66"/>
      <c r="AX8" s="66"/>
      <c r="AY8" s="67"/>
      <c r="AZ8" s="65"/>
      <c r="BA8" s="66"/>
      <c r="BB8" s="66"/>
      <c r="BC8" s="66"/>
      <c r="BD8" s="67"/>
      <c r="BE8" s="65"/>
      <c r="BF8" s="66"/>
      <c r="BG8" s="66"/>
      <c r="BH8" s="67"/>
      <c r="BI8" s="65"/>
      <c r="BJ8" s="66"/>
      <c r="BK8" s="66"/>
      <c r="BL8" s="67"/>
      <c r="BM8" s="65"/>
      <c r="BN8" s="66"/>
      <c r="BO8" s="66"/>
      <c r="BP8" s="67"/>
      <c r="BQ8" s="65"/>
      <c r="BR8" s="66"/>
      <c r="BS8" s="66"/>
      <c r="BT8" s="67"/>
    </row>
    <row r="9" spans="1:72">
      <c r="A9" s="68"/>
      <c r="B9" s="69" t="s">
        <v>159</v>
      </c>
      <c r="C9" s="220">
        <v>46097</v>
      </c>
      <c r="D9" s="220">
        <v>46135</v>
      </c>
      <c r="E9" s="220">
        <f>Table1[[#This Row],[End 1 (for calculation)]]+$E$5</f>
        <v>46139</v>
      </c>
      <c r="F9" s="233">
        <v>10</v>
      </c>
      <c r="G9" s="229">
        <v>1</v>
      </c>
      <c r="H9" s="69"/>
      <c r="I9" s="65"/>
      <c r="J9" s="66"/>
      <c r="K9" s="66"/>
      <c r="L9" s="67"/>
      <c r="M9" s="65"/>
      <c r="N9" s="66"/>
      <c r="O9" s="66"/>
      <c r="P9" s="67"/>
      <c r="Q9" s="66"/>
      <c r="R9" s="65"/>
      <c r="S9" s="106"/>
      <c r="T9" s="106"/>
      <c r="U9" s="215"/>
      <c r="V9" s="216"/>
      <c r="W9" s="66"/>
      <c r="X9" s="66"/>
      <c r="Y9" s="67"/>
      <c r="Z9" s="65"/>
      <c r="AA9" s="66"/>
      <c r="AB9" s="66"/>
      <c r="AC9" s="67"/>
      <c r="AD9" s="65"/>
      <c r="AE9" s="66"/>
      <c r="AF9" s="66"/>
      <c r="AG9" s="66"/>
      <c r="AH9" s="67"/>
      <c r="AI9" s="65"/>
      <c r="AJ9" s="66"/>
      <c r="AK9" s="66"/>
      <c r="AL9" s="67"/>
      <c r="AM9" s="65"/>
      <c r="AN9" s="66"/>
      <c r="AO9" s="66"/>
      <c r="AP9" s="66"/>
      <c r="AQ9" s="67"/>
      <c r="AR9" s="65"/>
      <c r="AS9" s="66"/>
      <c r="AT9" s="66"/>
      <c r="AU9" s="67"/>
      <c r="AV9" s="65"/>
      <c r="AW9" s="66"/>
      <c r="AX9" s="66"/>
      <c r="AY9" s="67"/>
      <c r="AZ9" s="65"/>
      <c r="BA9" s="66"/>
      <c r="BB9" s="66"/>
      <c r="BC9" s="66"/>
      <c r="BD9" s="67"/>
      <c r="BE9" s="65"/>
      <c r="BF9" s="66"/>
      <c r="BG9" s="66"/>
      <c r="BH9" s="67"/>
      <c r="BI9" s="65"/>
      <c r="BJ9" s="66"/>
      <c r="BK9" s="66"/>
      <c r="BL9" s="67"/>
      <c r="BM9" s="65"/>
      <c r="BN9" s="66"/>
      <c r="BO9" s="66"/>
      <c r="BP9" s="67"/>
      <c r="BQ9" s="65"/>
      <c r="BR9" s="66"/>
      <c r="BS9" s="66"/>
      <c r="BT9" s="67"/>
    </row>
    <row r="10" spans="1:72">
      <c r="A10" s="71"/>
      <c r="B10" s="71" t="s">
        <v>160</v>
      </c>
      <c r="C10" s="221">
        <v>46111</v>
      </c>
      <c r="D10" s="221">
        <v>46118</v>
      </c>
      <c r="E10" s="221">
        <f>Table1[[#This Row],[End 1 (for calculation)]]+$E$5</f>
        <v>46122</v>
      </c>
      <c r="F10" s="234">
        <v>10</v>
      </c>
      <c r="G10" s="229">
        <v>1</v>
      </c>
      <c r="H10" s="71"/>
      <c r="I10" s="65"/>
      <c r="J10" s="66"/>
      <c r="K10" s="66"/>
      <c r="L10" s="67"/>
      <c r="M10" s="65"/>
      <c r="N10" s="66"/>
      <c r="O10" s="66"/>
      <c r="P10" s="67"/>
      <c r="Q10" s="66"/>
      <c r="R10" s="65"/>
      <c r="S10" s="65"/>
      <c r="T10" s="65"/>
      <c r="U10" s="108"/>
      <c r="V10" s="106"/>
      <c r="W10" s="214"/>
      <c r="X10" s="214"/>
      <c r="Y10" s="67"/>
      <c r="Z10" s="65"/>
      <c r="AA10" s="66"/>
      <c r="AB10" s="66"/>
      <c r="AC10" s="67"/>
      <c r="AD10" s="65"/>
      <c r="AE10" s="66"/>
      <c r="AF10" s="66"/>
      <c r="AG10" s="66"/>
      <c r="AH10" s="67"/>
      <c r="AI10" s="65"/>
      <c r="AJ10" s="66"/>
      <c r="AK10" s="66"/>
      <c r="AL10" s="67"/>
      <c r="AM10" s="65"/>
      <c r="AN10" s="66"/>
      <c r="AO10" s="66"/>
      <c r="AP10" s="66"/>
      <c r="AQ10" s="67"/>
      <c r="AR10" s="65"/>
      <c r="AS10" s="66"/>
      <c r="AT10" s="66"/>
      <c r="AU10" s="67"/>
      <c r="AV10" s="65"/>
      <c r="AW10" s="66"/>
      <c r="AX10" s="66"/>
      <c r="AY10" s="67"/>
      <c r="AZ10" s="65"/>
      <c r="BA10" s="66"/>
      <c r="BB10" s="66"/>
      <c r="BC10" s="66"/>
      <c r="BD10" s="67"/>
      <c r="BE10" s="65"/>
      <c r="BF10" s="66"/>
      <c r="BG10" s="66"/>
      <c r="BH10" s="67"/>
      <c r="BI10" s="65"/>
      <c r="BJ10" s="66"/>
      <c r="BK10" s="66"/>
      <c r="BL10" s="67"/>
      <c r="BM10" s="65"/>
      <c r="BN10" s="66"/>
      <c r="BO10" s="66"/>
      <c r="BP10" s="67"/>
      <c r="BQ10" s="65"/>
      <c r="BR10" s="66"/>
      <c r="BS10" s="66"/>
      <c r="BT10" s="67"/>
    </row>
    <row r="11" spans="1:72">
      <c r="A11" s="102" t="s">
        <v>165</v>
      </c>
      <c r="B11" s="94"/>
      <c r="C11" s="219"/>
      <c r="D11" s="219"/>
      <c r="E11" s="219"/>
      <c r="F11" s="225" t="s">
        <v>166</v>
      </c>
      <c r="G11" s="228"/>
      <c r="H11" s="105" t="s">
        <v>167</v>
      </c>
      <c r="I11" s="65"/>
      <c r="J11" s="66"/>
      <c r="K11" s="66"/>
      <c r="L11" s="67"/>
      <c r="M11" s="65"/>
      <c r="N11" s="66"/>
      <c r="O11" s="66"/>
      <c r="P11" s="67"/>
      <c r="Q11" s="73"/>
      <c r="R11" s="73"/>
      <c r="S11" s="72"/>
      <c r="T11" s="72"/>
      <c r="U11" s="74"/>
      <c r="V11" s="72"/>
      <c r="W11" s="73"/>
      <c r="X11" s="73"/>
      <c r="Y11" s="74"/>
      <c r="Z11" s="72"/>
      <c r="AA11" s="73"/>
      <c r="AB11" s="73"/>
      <c r="AC11" s="74"/>
      <c r="AD11" s="72"/>
      <c r="AE11" s="73"/>
      <c r="AF11" s="73"/>
      <c r="AG11" s="73"/>
      <c r="AH11" s="74"/>
      <c r="AI11" s="72"/>
      <c r="AJ11" s="73"/>
      <c r="AK11" s="73"/>
      <c r="AL11" s="74"/>
      <c r="AM11" s="72"/>
      <c r="AN11" s="73"/>
      <c r="AO11" s="73"/>
      <c r="AP11" s="73"/>
      <c r="AQ11" s="74"/>
      <c r="AR11" s="72"/>
      <c r="AS11" s="73"/>
      <c r="AT11" s="73"/>
      <c r="AU11" s="74"/>
      <c r="AV11" s="72"/>
      <c r="AW11" s="73"/>
      <c r="AX11" s="73"/>
      <c r="AY11" s="74"/>
      <c r="AZ11" s="72"/>
      <c r="BA11" s="73"/>
      <c r="BB11" s="73"/>
      <c r="BC11" s="73"/>
      <c r="BD11" s="74"/>
      <c r="BE11" s="72"/>
      <c r="BF11" s="73"/>
      <c r="BG11" s="73"/>
      <c r="BH11" s="75"/>
      <c r="BI11" s="65"/>
      <c r="BJ11" s="66"/>
      <c r="BK11" s="66"/>
      <c r="BL11" s="87"/>
      <c r="BM11" s="65"/>
      <c r="BN11" s="66"/>
      <c r="BO11" s="66"/>
      <c r="BP11" s="87"/>
      <c r="BQ11" s="65"/>
      <c r="BR11" s="66"/>
      <c r="BS11" s="66"/>
      <c r="BT11" s="87"/>
    </row>
    <row r="12" spans="1:72">
      <c r="A12" s="71"/>
      <c r="B12" s="71" t="s">
        <v>164</v>
      </c>
      <c r="C12" s="221">
        <v>46083</v>
      </c>
      <c r="D12" s="221">
        <v>46167</v>
      </c>
      <c r="E12" s="221">
        <f>Table1[[#This Row],[End 1 (for calculation)]]+$E$5</f>
        <v>46171</v>
      </c>
      <c r="F12" s="234">
        <f>13*5</f>
        <v>65</v>
      </c>
      <c r="G12" s="229">
        <v>1</v>
      </c>
      <c r="H12" s="71"/>
      <c r="I12" s="65"/>
      <c r="J12" s="66"/>
      <c r="K12" s="66"/>
      <c r="L12" s="67"/>
      <c r="M12" s="65"/>
      <c r="N12" s="66"/>
      <c r="O12" s="66"/>
      <c r="P12" s="67"/>
      <c r="Q12" s="106"/>
      <c r="R12" s="106"/>
      <c r="S12" s="106"/>
      <c r="T12" s="106"/>
      <c r="U12" s="108"/>
      <c r="V12" s="106"/>
      <c r="W12" s="107"/>
      <c r="X12" s="107"/>
      <c r="Y12" s="108"/>
      <c r="Z12" s="106"/>
      <c r="AA12" s="107"/>
      <c r="AB12" s="107"/>
      <c r="AC12" s="108"/>
      <c r="AD12" s="65"/>
      <c r="AE12" s="66"/>
      <c r="AF12" s="66"/>
      <c r="AG12" s="66"/>
      <c r="AH12" s="67"/>
      <c r="AI12" s="65"/>
      <c r="AJ12" s="66"/>
      <c r="AK12" s="66"/>
      <c r="AL12" s="67"/>
      <c r="AM12" s="65"/>
      <c r="AN12" s="66"/>
      <c r="AO12" s="66"/>
      <c r="AP12" s="66"/>
      <c r="AQ12" s="67"/>
      <c r="AR12" s="65"/>
      <c r="AS12" s="66"/>
      <c r="AT12" s="66"/>
      <c r="AU12" s="67"/>
      <c r="AV12" s="65"/>
      <c r="AW12" s="66"/>
      <c r="AX12" s="66"/>
      <c r="AY12" s="67"/>
      <c r="AZ12" s="65"/>
      <c r="BA12" s="66"/>
      <c r="BB12" s="66"/>
      <c r="BC12" s="66"/>
      <c r="BD12" s="67"/>
      <c r="BE12" s="65"/>
      <c r="BF12" s="66"/>
      <c r="BG12" s="66"/>
      <c r="BH12" s="87"/>
      <c r="BI12" s="65"/>
      <c r="BJ12" s="66"/>
      <c r="BK12" s="66"/>
      <c r="BL12" s="87"/>
      <c r="BM12" s="65"/>
      <c r="BN12" s="66"/>
      <c r="BO12" s="66"/>
      <c r="BP12" s="87"/>
      <c r="BQ12" s="65"/>
      <c r="BR12" s="66"/>
      <c r="BS12" s="66"/>
      <c r="BT12" s="87"/>
    </row>
    <row r="13" spans="1:72">
      <c r="A13" s="103"/>
      <c r="B13" s="69" t="s">
        <v>213</v>
      </c>
      <c r="C13" s="221">
        <v>46083</v>
      </c>
      <c r="D13" s="221">
        <v>46167</v>
      </c>
      <c r="E13" s="220">
        <f>Table1[[#This Row],[End 1 (for calculation)]]+$E$5</f>
        <v>46171</v>
      </c>
      <c r="F13" s="233">
        <v>65</v>
      </c>
      <c r="G13" s="229">
        <v>1</v>
      </c>
      <c r="H13" s="69"/>
      <c r="I13" s="65"/>
      <c r="J13" s="66"/>
      <c r="K13" s="66"/>
      <c r="L13" s="67"/>
      <c r="M13" s="65"/>
      <c r="N13" s="66"/>
      <c r="O13" s="66"/>
      <c r="P13" s="67"/>
      <c r="Q13" s="65"/>
      <c r="R13" s="65"/>
      <c r="S13" s="65"/>
      <c r="T13" s="65"/>
      <c r="U13" s="67"/>
      <c r="V13" s="65"/>
      <c r="W13" s="66"/>
      <c r="X13" s="66"/>
      <c r="Y13" s="67"/>
      <c r="Z13" s="65"/>
      <c r="AA13" s="66"/>
      <c r="AB13" s="66"/>
      <c r="AC13" s="67"/>
      <c r="AD13" s="65"/>
      <c r="AE13" s="66"/>
      <c r="AF13" s="66"/>
      <c r="AG13" s="66"/>
      <c r="AH13" s="67"/>
      <c r="AI13" s="65"/>
      <c r="AJ13" s="66"/>
      <c r="AK13" s="66"/>
      <c r="AL13" s="67"/>
      <c r="AM13" s="65"/>
      <c r="AN13" s="66"/>
      <c r="AO13" s="66"/>
      <c r="AP13" s="66"/>
      <c r="AQ13" s="67"/>
      <c r="AR13" s="65"/>
      <c r="AS13" s="66"/>
      <c r="AT13" s="66"/>
      <c r="AU13" s="67"/>
      <c r="AV13" s="65"/>
      <c r="AW13" s="66"/>
      <c r="AX13" s="66"/>
      <c r="AY13" s="67"/>
      <c r="AZ13" s="65"/>
      <c r="BA13" s="66"/>
      <c r="BB13" s="66"/>
      <c r="BC13" s="66"/>
      <c r="BD13" s="67"/>
      <c r="BE13" s="65"/>
      <c r="BF13" s="66"/>
      <c r="BG13" s="66"/>
      <c r="BH13" s="87"/>
      <c r="BI13" s="65"/>
      <c r="BJ13" s="66"/>
      <c r="BK13" s="66"/>
      <c r="BL13" s="87"/>
      <c r="BM13" s="65"/>
      <c r="BN13" s="66"/>
      <c r="BO13" s="66"/>
      <c r="BP13" s="87"/>
      <c r="BQ13" s="65"/>
      <c r="BR13" s="66"/>
      <c r="BS13" s="66"/>
      <c r="BT13" s="87"/>
    </row>
    <row r="14" spans="1:72">
      <c r="A14" s="69"/>
      <c r="B14" s="152" t="s">
        <v>214</v>
      </c>
      <c r="C14" s="222">
        <v>46174</v>
      </c>
      <c r="D14" s="222">
        <v>46202</v>
      </c>
      <c r="E14" s="222">
        <f>Table1[[#This Row],[End 1 (for calculation)]]+$E$5</f>
        <v>46206</v>
      </c>
      <c r="F14" s="233">
        <v>25</v>
      </c>
      <c r="G14" s="229">
        <v>1</v>
      </c>
      <c r="H14" s="69"/>
      <c r="I14" s="65"/>
      <c r="J14" s="66"/>
      <c r="K14" s="66"/>
      <c r="L14" s="67"/>
      <c r="M14" s="65"/>
      <c r="N14" s="66"/>
      <c r="O14" s="66"/>
      <c r="P14" s="67"/>
      <c r="Q14" s="65"/>
      <c r="R14" s="65"/>
      <c r="S14" s="65"/>
      <c r="T14" s="65"/>
      <c r="U14" s="67"/>
      <c r="V14" s="65"/>
      <c r="W14" s="66"/>
      <c r="X14" s="66"/>
      <c r="Y14" s="67"/>
      <c r="Z14" s="65"/>
      <c r="AA14" s="66"/>
      <c r="AB14" s="66"/>
      <c r="AC14" s="67"/>
      <c r="AD14" s="106"/>
      <c r="AE14" s="107"/>
      <c r="AF14" s="107"/>
      <c r="AG14" s="107"/>
      <c r="AH14" s="151" t="s">
        <v>171</v>
      </c>
      <c r="AI14" s="147"/>
      <c r="AJ14" s="148"/>
      <c r="AK14" s="148"/>
      <c r="AL14" s="149"/>
      <c r="AM14" s="65"/>
      <c r="AN14" s="66"/>
      <c r="AO14" s="66"/>
      <c r="AP14" s="66"/>
      <c r="AQ14" s="67"/>
      <c r="AR14" s="65"/>
      <c r="AS14" s="66"/>
      <c r="AT14" s="66"/>
      <c r="AU14" s="67"/>
      <c r="AV14" s="65"/>
      <c r="AW14" s="66"/>
      <c r="AX14" s="66"/>
      <c r="AY14" s="67"/>
      <c r="AZ14" s="65"/>
      <c r="BA14" s="66"/>
      <c r="BB14" s="66"/>
      <c r="BC14" s="66"/>
      <c r="BD14" s="67"/>
      <c r="BE14" s="65"/>
      <c r="BF14" s="66"/>
      <c r="BG14" s="66"/>
      <c r="BH14" s="87"/>
      <c r="BI14" s="65"/>
      <c r="BJ14" s="66"/>
      <c r="BK14" s="66"/>
      <c r="BL14" s="87"/>
      <c r="BM14" s="65"/>
      <c r="BN14" s="66"/>
      <c r="BO14" s="66"/>
      <c r="BP14" s="87"/>
      <c r="BQ14" s="65"/>
      <c r="BR14" s="66"/>
      <c r="BS14" s="66"/>
      <c r="BT14" s="87"/>
    </row>
    <row r="15" spans="1:72">
      <c r="A15" s="71"/>
      <c r="B15" s="71" t="s">
        <v>172</v>
      </c>
      <c r="C15" s="221">
        <v>46209</v>
      </c>
      <c r="D15" s="221">
        <v>46230</v>
      </c>
      <c r="E15" s="221">
        <f>Table1[[#This Row],[End 1 (for calculation)]]+$E$5</f>
        <v>46234</v>
      </c>
      <c r="F15" s="234">
        <v>15</v>
      </c>
      <c r="G15" s="229">
        <v>1</v>
      </c>
      <c r="H15" s="71"/>
      <c r="I15" s="65"/>
      <c r="J15" s="66"/>
      <c r="K15" s="66"/>
      <c r="L15" s="67"/>
      <c r="M15" s="65"/>
      <c r="N15" s="66"/>
      <c r="O15" s="66"/>
      <c r="P15" s="67"/>
      <c r="Q15" s="65"/>
      <c r="R15" s="65"/>
      <c r="S15" s="65"/>
      <c r="T15" s="65"/>
      <c r="U15" s="67"/>
      <c r="V15" s="65"/>
      <c r="W15" s="66"/>
      <c r="X15" s="66"/>
      <c r="Y15" s="67"/>
      <c r="Z15" s="65"/>
      <c r="AA15" s="66"/>
      <c r="AB15" s="66"/>
      <c r="AC15" s="67"/>
      <c r="AD15" s="65"/>
      <c r="AE15" s="66"/>
      <c r="AF15" s="66"/>
      <c r="AG15" s="66"/>
      <c r="AH15" s="67"/>
      <c r="AI15" s="106"/>
      <c r="AJ15" s="107"/>
      <c r="AK15" s="107"/>
      <c r="AL15" s="121"/>
      <c r="AM15" s="65"/>
      <c r="AN15" s="66"/>
      <c r="AO15" s="66"/>
      <c r="AP15" s="66"/>
      <c r="AQ15" s="67"/>
      <c r="AR15" s="65"/>
      <c r="AS15" s="66"/>
      <c r="AT15" s="66"/>
      <c r="AU15" s="67"/>
      <c r="AV15" s="65"/>
      <c r="AW15" s="66"/>
      <c r="AX15" s="66"/>
      <c r="AY15" s="67"/>
      <c r="AZ15" s="65"/>
      <c r="BA15" s="66"/>
      <c r="BB15" s="66"/>
      <c r="BC15" s="66"/>
      <c r="BD15" s="67"/>
      <c r="BE15" s="65"/>
      <c r="BF15" s="66"/>
      <c r="BG15" s="66"/>
      <c r="BH15" s="87"/>
      <c r="BI15" s="65"/>
      <c r="BJ15" s="66"/>
      <c r="BK15" s="66"/>
      <c r="BL15" s="87"/>
      <c r="BM15" s="65"/>
      <c r="BN15" s="66"/>
      <c r="BO15" s="66"/>
      <c r="BP15" s="87"/>
      <c r="BQ15" s="65"/>
      <c r="BR15" s="66"/>
      <c r="BS15" s="66"/>
      <c r="BT15" s="87"/>
    </row>
    <row r="16" spans="1:72">
      <c r="A16" s="71"/>
      <c r="B16" s="71" t="s">
        <v>215</v>
      </c>
      <c r="C16" s="221">
        <v>46230</v>
      </c>
      <c r="D16" s="221">
        <v>46293</v>
      </c>
      <c r="E16" s="221">
        <f>Table1[[#This Row],[End 1 (for calculation)]]+$E$5</f>
        <v>46297</v>
      </c>
      <c r="F16" s="234">
        <v>50</v>
      </c>
      <c r="G16" s="229">
        <v>1</v>
      </c>
      <c r="H16" s="71"/>
      <c r="I16" s="65"/>
      <c r="J16" s="66"/>
      <c r="K16" s="66"/>
      <c r="L16" s="67"/>
      <c r="M16" s="65"/>
      <c r="N16" s="66"/>
      <c r="O16" s="66"/>
      <c r="P16" s="67"/>
      <c r="Q16" s="65"/>
      <c r="R16" s="65"/>
      <c r="S16" s="65"/>
      <c r="T16" s="65"/>
      <c r="U16" s="67"/>
      <c r="V16" s="65"/>
      <c r="W16" s="66"/>
      <c r="X16" s="66"/>
      <c r="Y16" s="67"/>
      <c r="Z16" s="65"/>
      <c r="AA16" s="66"/>
      <c r="AB16" s="66"/>
      <c r="AC16" s="67"/>
      <c r="AD16" s="65"/>
      <c r="AE16" s="66"/>
      <c r="AF16" s="66"/>
      <c r="AG16" s="66"/>
      <c r="AH16" s="67"/>
      <c r="AI16" s="65"/>
      <c r="AJ16" s="66"/>
      <c r="AK16" s="66"/>
      <c r="AL16" s="113"/>
      <c r="AM16" s="106"/>
      <c r="AN16" s="107"/>
      <c r="AO16" s="107"/>
      <c r="AP16" s="107"/>
      <c r="AQ16" s="108"/>
      <c r="AR16" s="106"/>
      <c r="AS16" s="107"/>
      <c r="AT16" s="107"/>
      <c r="AU16" s="108"/>
      <c r="AV16" s="65"/>
      <c r="AW16" s="66"/>
      <c r="AX16" s="66"/>
      <c r="AY16" s="67"/>
      <c r="AZ16" s="65"/>
      <c r="BA16" s="66"/>
      <c r="BB16" s="66"/>
      <c r="BC16" s="66"/>
      <c r="BD16" s="67"/>
      <c r="BE16" s="65"/>
      <c r="BF16" s="66"/>
      <c r="BG16" s="66"/>
      <c r="BH16" s="87"/>
      <c r="BI16" s="65"/>
      <c r="BJ16" s="66"/>
      <c r="BK16" s="66"/>
      <c r="BL16" s="87"/>
      <c r="BM16" s="65"/>
      <c r="BN16" s="66"/>
      <c r="BO16" s="66"/>
      <c r="BP16" s="87"/>
      <c r="BQ16" s="65"/>
      <c r="BR16" s="66"/>
      <c r="BS16" s="66"/>
      <c r="BT16" s="87"/>
    </row>
    <row r="17" spans="1:72">
      <c r="A17" s="69"/>
      <c r="B17" s="152" t="s">
        <v>216</v>
      </c>
      <c r="C17" s="222">
        <v>46300</v>
      </c>
      <c r="D17" s="222">
        <v>46321</v>
      </c>
      <c r="E17" s="222">
        <f>Table1[[#This Row],[End 1 (for calculation)]]+$E$5</f>
        <v>46325</v>
      </c>
      <c r="F17" s="233">
        <v>20</v>
      </c>
      <c r="G17" s="229">
        <v>0.7</v>
      </c>
      <c r="H17" s="69"/>
      <c r="I17" s="65"/>
      <c r="J17" s="66"/>
      <c r="K17" s="66"/>
      <c r="L17" s="67"/>
      <c r="M17" s="65"/>
      <c r="N17" s="66"/>
      <c r="O17" s="66"/>
      <c r="P17" s="67"/>
      <c r="Q17" s="65"/>
      <c r="R17" s="65"/>
      <c r="S17" s="65"/>
      <c r="T17" s="65"/>
      <c r="U17" s="67"/>
      <c r="V17" s="65"/>
      <c r="W17" s="66"/>
      <c r="X17" s="66"/>
      <c r="Y17" s="67"/>
      <c r="Z17" s="65"/>
      <c r="AA17" s="66"/>
      <c r="AB17" s="66"/>
      <c r="AC17" s="67"/>
      <c r="AD17" s="65"/>
      <c r="AE17" s="66"/>
      <c r="AF17" s="66"/>
      <c r="AG17" s="66"/>
      <c r="AH17" s="67"/>
      <c r="AI17" s="65"/>
      <c r="AJ17" s="66"/>
      <c r="AK17" s="66"/>
      <c r="AL17" s="67"/>
      <c r="AM17" s="65"/>
      <c r="AN17" s="66"/>
      <c r="AO17" s="66"/>
      <c r="AP17" s="66"/>
      <c r="AQ17" s="67"/>
      <c r="AR17" s="65"/>
      <c r="AS17" s="66"/>
      <c r="AT17" s="66"/>
      <c r="AU17" s="67"/>
      <c r="AV17" s="106"/>
      <c r="AW17" s="107"/>
      <c r="AX17" s="107"/>
      <c r="AY17" s="150" t="s">
        <v>171</v>
      </c>
      <c r="AZ17" s="65"/>
      <c r="BA17" s="66"/>
      <c r="BB17" s="66"/>
      <c r="BC17" s="66"/>
      <c r="BD17" s="67"/>
      <c r="BE17" s="65"/>
      <c r="BF17" s="66"/>
      <c r="BG17" s="66"/>
      <c r="BH17" s="122"/>
      <c r="BI17" s="65"/>
      <c r="BJ17" s="66"/>
      <c r="BK17" s="66"/>
      <c r="BL17" s="122"/>
      <c r="BM17" s="65"/>
      <c r="BN17" s="66"/>
      <c r="BO17" s="66"/>
      <c r="BP17" s="122"/>
      <c r="BQ17" s="65"/>
      <c r="BR17" s="66"/>
      <c r="BS17" s="66"/>
      <c r="BT17" s="122"/>
    </row>
    <row r="18" spans="1:72">
      <c r="A18" s="71"/>
      <c r="B18" s="71" t="s">
        <v>174</v>
      </c>
      <c r="C18" s="221">
        <v>46328</v>
      </c>
      <c r="D18" s="221">
        <v>46342</v>
      </c>
      <c r="E18" s="221">
        <f>Table1[[#This Row],[End 1 (for calculation)]]+$E$5</f>
        <v>46346</v>
      </c>
      <c r="F18" s="234">
        <v>15</v>
      </c>
      <c r="G18" s="229">
        <v>0.6</v>
      </c>
      <c r="H18" s="71"/>
      <c r="I18" s="65"/>
      <c r="J18" s="66"/>
      <c r="K18" s="66"/>
      <c r="L18" s="67"/>
      <c r="M18" s="65"/>
      <c r="N18" s="66"/>
      <c r="O18" s="66"/>
      <c r="P18" s="67"/>
      <c r="Q18" s="65"/>
      <c r="R18" s="65"/>
      <c r="S18" s="65"/>
      <c r="T18" s="65"/>
      <c r="U18" s="67"/>
      <c r="V18" s="65"/>
      <c r="W18" s="66"/>
      <c r="X18" s="66"/>
      <c r="Y18" s="67"/>
      <c r="Z18" s="65"/>
      <c r="AA18" s="66"/>
      <c r="AB18" s="66"/>
      <c r="AC18" s="67"/>
      <c r="AD18" s="65"/>
      <c r="AE18" s="66"/>
      <c r="AF18" s="66"/>
      <c r="AG18" s="66"/>
      <c r="AH18" s="67"/>
      <c r="AI18" s="65"/>
      <c r="AJ18" s="66"/>
      <c r="AK18" s="66"/>
      <c r="AL18" s="67"/>
      <c r="AM18" s="65"/>
      <c r="AN18" s="66"/>
      <c r="AO18" s="66"/>
      <c r="AP18" s="66"/>
      <c r="AQ18" s="67"/>
      <c r="AR18" s="65"/>
      <c r="AS18" s="66"/>
      <c r="AT18" s="66"/>
      <c r="AU18" s="67"/>
      <c r="AV18" s="65"/>
      <c r="AW18" s="66"/>
      <c r="AX18" s="66"/>
      <c r="AY18" s="67"/>
      <c r="AZ18" s="106"/>
      <c r="BA18" s="107"/>
      <c r="BB18" s="107"/>
      <c r="BC18" s="66"/>
      <c r="BD18" s="67"/>
      <c r="BE18" s="65"/>
      <c r="BF18" s="66"/>
      <c r="BG18" s="66"/>
      <c r="BH18" s="122"/>
      <c r="BI18" s="65"/>
      <c r="BJ18" s="66"/>
      <c r="BK18" s="66"/>
      <c r="BL18" s="122"/>
      <c r="BM18" s="65"/>
      <c r="BN18" s="66"/>
      <c r="BO18" s="66"/>
      <c r="BP18" s="122"/>
      <c r="BQ18" s="65"/>
      <c r="BR18" s="66"/>
      <c r="BS18" s="66"/>
      <c r="BT18" s="122"/>
    </row>
    <row r="19" spans="1:72">
      <c r="A19" s="71"/>
      <c r="B19" s="153" t="s">
        <v>217</v>
      </c>
      <c r="C19" s="223">
        <v>46349</v>
      </c>
      <c r="D19" s="223">
        <v>46370</v>
      </c>
      <c r="E19" s="223">
        <f>Table1[[#This Row],[End 1 (for calculation)]]+$E$5</f>
        <v>46374</v>
      </c>
      <c r="F19" s="234">
        <v>20</v>
      </c>
      <c r="G19" s="229">
        <v>0</v>
      </c>
      <c r="H19" s="71"/>
      <c r="I19" s="65"/>
      <c r="J19" s="66"/>
      <c r="K19" s="66"/>
      <c r="L19" s="67"/>
      <c r="M19" s="65"/>
      <c r="N19" s="66"/>
      <c r="O19" s="66"/>
      <c r="P19" s="67"/>
      <c r="Q19" s="65"/>
      <c r="R19" s="65"/>
      <c r="S19" s="65"/>
      <c r="T19" s="65"/>
      <c r="U19" s="67"/>
      <c r="V19" s="65"/>
      <c r="W19" s="66"/>
      <c r="X19" s="66"/>
      <c r="Y19" s="67"/>
      <c r="Z19" s="65"/>
      <c r="AA19" s="66"/>
      <c r="AB19" s="66"/>
      <c r="AC19" s="67"/>
      <c r="AD19" s="65"/>
      <c r="AE19" s="66"/>
      <c r="AF19" s="66"/>
      <c r="AG19" s="66"/>
      <c r="AH19" s="67"/>
      <c r="AI19" s="65"/>
      <c r="AJ19" s="66"/>
      <c r="AK19" s="66"/>
      <c r="AL19" s="67"/>
      <c r="AM19" s="65"/>
      <c r="AN19" s="66"/>
      <c r="AO19" s="66"/>
      <c r="AP19" s="66"/>
      <c r="AQ19" s="67"/>
      <c r="AR19" s="65"/>
      <c r="AS19" s="66"/>
      <c r="AT19" s="66"/>
      <c r="AU19" s="67"/>
      <c r="AV19" s="65"/>
      <c r="AW19" s="66"/>
      <c r="AX19" s="66"/>
      <c r="AY19" s="67"/>
      <c r="AZ19" s="65"/>
      <c r="BA19" s="66"/>
      <c r="BB19" s="66"/>
      <c r="BC19" s="107"/>
      <c r="BD19" s="108"/>
      <c r="BE19" s="106"/>
      <c r="BF19" s="154" t="s">
        <v>171</v>
      </c>
      <c r="BG19" s="66"/>
      <c r="BH19" s="122"/>
      <c r="BI19" s="65"/>
      <c r="BJ19" s="159"/>
      <c r="BK19" s="66"/>
      <c r="BL19" s="122"/>
      <c r="BM19" s="65"/>
      <c r="BN19" s="159"/>
      <c r="BO19" s="66"/>
      <c r="BP19" s="122"/>
      <c r="BQ19" s="65"/>
      <c r="BR19" s="159"/>
      <c r="BS19" s="66"/>
      <c r="BT19" s="122"/>
    </row>
    <row r="20" spans="1:72">
      <c r="A20" s="71"/>
      <c r="B20" s="71" t="s">
        <v>218</v>
      </c>
      <c r="C20" s="221">
        <v>46377</v>
      </c>
      <c r="D20" s="221">
        <v>46384</v>
      </c>
      <c r="E20" s="221">
        <f>Table1[[#This Row],[End 1 (for calculation)]]+$E$5</f>
        <v>46388</v>
      </c>
      <c r="F20" s="234">
        <v>10</v>
      </c>
      <c r="G20" s="229">
        <v>0</v>
      </c>
      <c r="H20" s="71"/>
      <c r="I20" s="65"/>
      <c r="J20" s="66"/>
      <c r="K20" s="66"/>
      <c r="L20" s="67"/>
      <c r="M20" s="65"/>
      <c r="N20" s="66"/>
      <c r="O20" s="66"/>
      <c r="P20" s="67"/>
      <c r="Q20" s="65"/>
      <c r="R20" s="65"/>
      <c r="S20" s="65"/>
      <c r="T20" s="65"/>
      <c r="U20" s="67"/>
      <c r="V20" s="65"/>
      <c r="W20" s="66"/>
      <c r="X20" s="66"/>
      <c r="Y20" s="67"/>
      <c r="Z20" s="65"/>
      <c r="AA20" s="66"/>
      <c r="AB20" s="66"/>
      <c r="AC20" s="67"/>
      <c r="AD20" s="65"/>
      <c r="AE20" s="66"/>
      <c r="AF20" s="66"/>
      <c r="AG20" s="66"/>
      <c r="AH20" s="67"/>
      <c r="AI20" s="65"/>
      <c r="AJ20" s="66"/>
      <c r="AK20" s="66"/>
      <c r="AL20" s="67"/>
      <c r="AM20" s="65"/>
      <c r="AN20" s="66"/>
      <c r="AO20" s="66"/>
      <c r="AP20" s="66"/>
      <c r="AQ20" s="67"/>
      <c r="AR20" s="65"/>
      <c r="AS20" s="66"/>
      <c r="AT20" s="66"/>
      <c r="AU20" s="67"/>
      <c r="AV20" s="65"/>
      <c r="AW20" s="66"/>
      <c r="AX20" s="66"/>
      <c r="AY20" s="67"/>
      <c r="AZ20" s="65"/>
      <c r="BA20" s="66"/>
      <c r="BB20" s="66"/>
      <c r="BC20" s="66"/>
      <c r="BD20" s="67"/>
      <c r="BE20" s="65"/>
      <c r="BF20" s="66"/>
      <c r="BG20" s="107"/>
      <c r="BH20" s="114"/>
      <c r="BI20" s="65"/>
      <c r="BJ20" s="66"/>
      <c r="BK20" s="66"/>
      <c r="BL20" s="122"/>
      <c r="BM20" s="65"/>
      <c r="BN20" s="66"/>
      <c r="BO20" s="66"/>
      <c r="BP20" s="122"/>
      <c r="BQ20" s="65"/>
      <c r="BR20" s="66"/>
      <c r="BS20" s="66"/>
      <c r="BT20" s="122"/>
    </row>
    <row r="21" spans="1:72">
      <c r="A21" s="104" t="s">
        <v>219</v>
      </c>
      <c r="B21" s="157"/>
      <c r="C21" s="224"/>
      <c r="D21" s="224"/>
      <c r="E21" s="224"/>
      <c r="F21" s="226" t="s">
        <v>220</v>
      </c>
      <c r="G21" s="228"/>
      <c r="H21" s="105" t="s">
        <v>177</v>
      </c>
      <c r="I21" s="65"/>
      <c r="J21" s="66"/>
      <c r="K21" s="66"/>
      <c r="L21" s="67"/>
      <c r="M21" s="65"/>
      <c r="N21" s="66"/>
      <c r="O21" s="66"/>
      <c r="P21" s="67"/>
      <c r="Q21" s="65"/>
      <c r="R21" s="65"/>
      <c r="S21" s="65"/>
      <c r="T21" s="65"/>
      <c r="U21" s="67"/>
      <c r="V21" s="65"/>
      <c r="W21" s="66"/>
      <c r="X21" s="66"/>
      <c r="Y21" s="67"/>
      <c r="Z21" s="65"/>
      <c r="AA21" s="66"/>
      <c r="AB21" s="66"/>
      <c r="AC21" s="67"/>
      <c r="AD21" s="72"/>
      <c r="AE21" s="73"/>
      <c r="AF21" s="73"/>
      <c r="AG21" s="73"/>
      <c r="AH21" s="74"/>
      <c r="AI21" s="72"/>
      <c r="AJ21" s="73"/>
      <c r="AK21" s="73"/>
      <c r="AL21" s="74"/>
      <c r="AM21" s="72"/>
      <c r="AN21" s="73"/>
      <c r="AO21" s="66"/>
      <c r="AP21" s="66"/>
      <c r="AQ21" s="67"/>
      <c r="AR21" s="65"/>
      <c r="AS21" s="66"/>
      <c r="AT21" s="66"/>
      <c r="AU21" s="67"/>
      <c r="AV21" s="65"/>
      <c r="AW21" s="66"/>
      <c r="AX21" s="66"/>
      <c r="AY21" s="67"/>
      <c r="AZ21" s="65"/>
      <c r="BA21" s="66"/>
      <c r="BB21" s="66"/>
      <c r="BC21" s="66"/>
      <c r="BD21" s="67"/>
      <c r="BE21" s="65"/>
      <c r="BF21" s="66"/>
      <c r="BG21" s="73"/>
      <c r="BH21" s="75"/>
      <c r="BI21" s="65"/>
      <c r="BJ21" s="66"/>
      <c r="BK21" s="66"/>
      <c r="BL21" s="87"/>
      <c r="BM21" s="65"/>
      <c r="BN21" s="66"/>
      <c r="BO21" s="66"/>
      <c r="BP21" s="87"/>
      <c r="BQ21" s="65"/>
      <c r="BR21" s="66"/>
      <c r="BS21" s="66"/>
      <c r="BT21" s="87"/>
    </row>
    <row r="22" spans="1:72">
      <c r="A22" s="71"/>
      <c r="B22" s="71" t="s">
        <v>221</v>
      </c>
      <c r="C22" s="221">
        <v>46174</v>
      </c>
      <c r="D22" s="221">
        <v>46244</v>
      </c>
      <c r="E22" s="221">
        <f>Table1[[#This Row],[End 1 (for calculation)]]+$E$5</f>
        <v>46248</v>
      </c>
      <c r="F22" s="234">
        <v>55</v>
      </c>
      <c r="G22" s="229">
        <v>0</v>
      </c>
      <c r="H22" s="69"/>
      <c r="I22" s="65"/>
      <c r="J22" s="66"/>
      <c r="K22" s="66"/>
      <c r="L22" s="67"/>
      <c r="M22" s="65"/>
      <c r="N22" s="66"/>
      <c r="O22" s="66"/>
      <c r="P22" s="67"/>
      <c r="Q22" s="65"/>
      <c r="R22" s="65"/>
      <c r="S22" s="65"/>
      <c r="T22" s="65"/>
      <c r="U22" s="67"/>
      <c r="V22" s="65"/>
      <c r="W22" s="66"/>
      <c r="X22" s="66"/>
      <c r="Y22" s="67"/>
      <c r="Z22" s="65"/>
      <c r="AA22" s="66"/>
      <c r="AB22" s="66"/>
      <c r="AC22" s="67"/>
      <c r="AD22" s="106"/>
      <c r="AE22" s="107"/>
      <c r="AF22" s="107"/>
      <c r="AG22" s="107"/>
      <c r="AH22" s="108"/>
      <c r="AI22" s="106"/>
      <c r="AJ22" s="107"/>
      <c r="AK22" s="107"/>
      <c r="AL22" s="108"/>
      <c r="AM22" s="106"/>
      <c r="AN22" s="107"/>
      <c r="AO22" s="66"/>
      <c r="AP22" s="66"/>
      <c r="AQ22" s="67"/>
      <c r="AR22" s="65"/>
      <c r="AS22" s="66"/>
      <c r="AT22" s="66"/>
      <c r="AU22" s="67"/>
      <c r="AV22" s="65"/>
      <c r="AW22" s="66"/>
      <c r="AX22" s="66"/>
      <c r="AY22" s="67"/>
      <c r="AZ22" s="65"/>
      <c r="BA22" s="66"/>
      <c r="BB22" s="66"/>
      <c r="BC22" s="66"/>
      <c r="BD22" s="67"/>
      <c r="BE22" s="65"/>
      <c r="BF22" s="66"/>
      <c r="BG22" s="66"/>
      <c r="BH22" s="87"/>
      <c r="BI22" s="65"/>
      <c r="BJ22" s="66"/>
      <c r="BK22" s="66"/>
      <c r="BL22" s="87"/>
      <c r="BM22" s="65"/>
      <c r="BN22" s="66"/>
      <c r="BO22" s="66"/>
      <c r="BP22" s="87"/>
      <c r="BQ22" s="65"/>
      <c r="BR22" s="66"/>
      <c r="BS22" s="66"/>
      <c r="BT22" s="87"/>
    </row>
    <row r="23" spans="1:72">
      <c r="A23" s="71"/>
      <c r="B23" s="71" t="s">
        <v>181</v>
      </c>
      <c r="C23" s="221">
        <v>46377</v>
      </c>
      <c r="D23" s="221">
        <v>46384</v>
      </c>
      <c r="E23" s="221">
        <f>Table1[[#This Row],[End 1 (for calculation)]]+$E$5</f>
        <v>46388</v>
      </c>
      <c r="F23" s="234">
        <v>10</v>
      </c>
      <c r="G23" s="229">
        <v>0</v>
      </c>
      <c r="H23" s="69"/>
      <c r="I23" s="65"/>
      <c r="J23" s="66"/>
      <c r="K23" s="66"/>
      <c r="L23" s="67"/>
      <c r="M23" s="65"/>
      <c r="N23" s="66"/>
      <c r="O23" s="66"/>
      <c r="P23" s="67"/>
      <c r="Q23" s="65"/>
      <c r="R23" s="65"/>
      <c r="S23" s="65"/>
      <c r="T23" s="65"/>
      <c r="U23" s="67"/>
      <c r="V23" s="65"/>
      <c r="W23" s="66"/>
      <c r="X23" s="66"/>
      <c r="Y23" s="67"/>
      <c r="Z23" s="65"/>
      <c r="AA23" s="66"/>
      <c r="AB23" s="66"/>
      <c r="AC23" s="67"/>
      <c r="AD23" s="65"/>
      <c r="AE23" s="66"/>
      <c r="AF23" s="66"/>
      <c r="AG23" s="66"/>
      <c r="AH23" s="67"/>
      <c r="AI23" s="65"/>
      <c r="AJ23" s="66"/>
      <c r="AK23" s="66"/>
      <c r="AL23" s="67"/>
      <c r="AM23" s="65"/>
      <c r="AN23" s="66"/>
      <c r="AO23" s="66"/>
      <c r="AP23" s="66"/>
      <c r="AQ23" s="67"/>
      <c r="AR23" s="65"/>
      <c r="AS23" s="66"/>
      <c r="AT23" s="66"/>
      <c r="AU23" s="67"/>
      <c r="AV23" s="65"/>
      <c r="AW23" s="66"/>
      <c r="AX23" s="66"/>
      <c r="AY23" s="67"/>
      <c r="AZ23" s="65"/>
      <c r="BA23" s="66"/>
      <c r="BB23" s="66"/>
      <c r="BC23" s="66"/>
      <c r="BD23" s="67"/>
      <c r="BE23" s="65"/>
      <c r="BF23" s="66"/>
      <c r="BG23" s="107"/>
      <c r="BH23" s="151" t="s">
        <v>171</v>
      </c>
      <c r="BI23" s="65"/>
      <c r="BJ23" s="66"/>
      <c r="BK23" s="66"/>
      <c r="BL23" s="158"/>
      <c r="BM23" s="65"/>
      <c r="BN23" s="66"/>
      <c r="BO23" s="66"/>
      <c r="BP23" s="158"/>
      <c r="BQ23" s="65"/>
      <c r="BR23" s="66"/>
      <c r="BS23" s="66"/>
      <c r="BT23" s="158"/>
    </row>
    <row r="24" spans="1:72">
      <c r="A24" s="104" t="s">
        <v>222</v>
      </c>
      <c r="B24" s="157"/>
      <c r="C24" s="224"/>
      <c r="D24" s="224"/>
      <c r="E24" s="224"/>
      <c r="F24" s="226" t="s">
        <v>162</v>
      </c>
      <c r="G24" s="228"/>
      <c r="H24" s="105" t="s">
        <v>223</v>
      </c>
      <c r="I24" s="65"/>
      <c r="J24" s="66"/>
      <c r="K24" s="66"/>
      <c r="L24" s="67"/>
      <c r="M24" s="65"/>
      <c r="N24" s="66"/>
      <c r="O24" s="66"/>
      <c r="P24" s="67"/>
      <c r="Q24" s="65"/>
      <c r="R24" s="65"/>
      <c r="S24" s="65"/>
      <c r="T24" s="65"/>
      <c r="U24" s="67"/>
      <c r="V24" s="65"/>
      <c r="W24" s="66"/>
      <c r="X24" s="66"/>
      <c r="Y24" s="67"/>
      <c r="Z24" s="65"/>
      <c r="AA24" s="66"/>
      <c r="AB24" s="66"/>
      <c r="AC24" s="67"/>
      <c r="AD24" s="65"/>
      <c r="AE24" s="66"/>
      <c r="AF24" s="66"/>
      <c r="AG24" s="66"/>
      <c r="AH24" s="67"/>
      <c r="AI24" s="65"/>
      <c r="AJ24" s="66"/>
      <c r="AK24" s="66"/>
      <c r="AL24" s="67"/>
      <c r="AM24" s="65"/>
      <c r="AN24" s="66"/>
      <c r="AO24" s="66"/>
      <c r="AP24" s="66"/>
      <c r="AQ24" s="67"/>
      <c r="AR24" s="65"/>
      <c r="AS24" s="66"/>
      <c r="AT24" s="66"/>
      <c r="AU24" s="67"/>
      <c r="AV24" s="65"/>
      <c r="AW24" s="66"/>
      <c r="AX24" s="66"/>
      <c r="AY24" s="67"/>
      <c r="AZ24" s="65"/>
      <c r="BA24" s="66"/>
      <c r="BB24" s="66"/>
      <c r="BC24" s="66"/>
      <c r="BD24" s="67"/>
      <c r="BE24" s="65"/>
      <c r="BF24" s="66"/>
      <c r="BG24" s="66"/>
      <c r="BH24" s="87"/>
      <c r="BI24" s="160"/>
      <c r="BJ24" s="161"/>
      <c r="BK24" s="161"/>
      <c r="BL24" s="162"/>
      <c r="BM24" s="160"/>
      <c r="BN24" s="161"/>
      <c r="BO24" s="161"/>
      <c r="BP24" s="162"/>
      <c r="BQ24" s="160"/>
      <c r="BR24" s="161"/>
      <c r="BS24" s="161"/>
      <c r="BT24" s="162"/>
    </row>
    <row r="25" spans="1:72">
      <c r="A25" s="71"/>
      <c r="B25" s="71" t="s">
        <v>224</v>
      </c>
      <c r="C25" s="221">
        <v>46026</v>
      </c>
      <c r="D25" s="221">
        <v>46102</v>
      </c>
      <c r="E25" s="221">
        <f>Table1[[#This Row],[End 1 (for calculation)]]+$E$5</f>
        <v>46106</v>
      </c>
      <c r="F25" s="234">
        <v>60</v>
      </c>
      <c r="G25" s="229">
        <v>0</v>
      </c>
      <c r="H25" s="69"/>
      <c r="I25" s="65"/>
      <c r="J25" s="66"/>
      <c r="K25" s="66"/>
      <c r="L25" s="67"/>
      <c r="M25" s="65"/>
      <c r="N25" s="66"/>
      <c r="O25" s="66"/>
      <c r="P25" s="67"/>
      <c r="Q25" s="65"/>
      <c r="R25" s="65"/>
      <c r="S25" s="65"/>
      <c r="T25" s="65"/>
      <c r="U25" s="67"/>
      <c r="V25" s="65"/>
      <c r="W25" s="66"/>
      <c r="X25" s="66"/>
      <c r="Y25" s="67"/>
      <c r="Z25" s="65"/>
      <c r="AA25" s="66"/>
      <c r="AB25" s="66"/>
      <c r="AC25" s="67"/>
      <c r="AD25" s="65"/>
      <c r="AE25" s="66"/>
      <c r="AF25" s="66"/>
      <c r="AG25" s="66"/>
      <c r="AH25" s="67"/>
      <c r="AI25" s="65"/>
      <c r="AJ25" s="66"/>
      <c r="AK25" s="66"/>
      <c r="AL25" s="67"/>
      <c r="AM25" s="65"/>
      <c r="AN25" s="66"/>
      <c r="AO25" s="66"/>
      <c r="AP25" s="66"/>
      <c r="AQ25" s="67"/>
      <c r="AR25" s="65"/>
      <c r="AS25" s="66"/>
      <c r="AT25" s="66"/>
      <c r="AU25" s="67"/>
      <c r="AV25" s="65"/>
      <c r="AW25" s="66"/>
      <c r="AX25" s="66"/>
      <c r="AY25" s="67"/>
      <c r="AZ25" s="65"/>
      <c r="BA25" s="66"/>
      <c r="BB25" s="66"/>
      <c r="BC25" s="66"/>
      <c r="BD25" s="67"/>
      <c r="BE25" s="65"/>
      <c r="BF25" s="66"/>
      <c r="BG25" s="66"/>
      <c r="BH25" s="87"/>
      <c r="BI25" s="163"/>
      <c r="BJ25" s="164"/>
      <c r="BK25" s="164"/>
      <c r="BL25" s="165"/>
      <c r="BM25" s="163"/>
      <c r="BN25" s="164"/>
      <c r="BO25" s="164"/>
      <c r="BP25" s="165"/>
      <c r="BQ25" s="163"/>
      <c r="BR25" s="164"/>
      <c r="BS25" s="164"/>
      <c r="BT25" s="165"/>
    </row>
    <row r="26" spans="1:72">
      <c r="A26" s="86"/>
      <c r="B26" s="86"/>
      <c r="C26" s="86"/>
      <c r="D26" s="86"/>
      <c r="E26" s="86"/>
      <c r="F26" s="86"/>
      <c r="G26" s="86"/>
      <c r="H26" s="86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9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  <c r="BH26" s="89"/>
    </row>
    <row r="27" spans="1:72">
      <c r="A27" s="86"/>
      <c r="B27" s="86"/>
      <c r="C27" s="86"/>
      <c r="D27" s="86"/>
      <c r="E27" s="86"/>
      <c r="F27" s="86"/>
      <c r="G27" s="86"/>
      <c r="H27" s="86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9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9"/>
    </row>
    <row r="28" spans="1:72" ht="24">
      <c r="A28" s="111"/>
      <c r="B28" s="86"/>
      <c r="C28" s="86"/>
      <c r="D28" s="86"/>
      <c r="E28" s="86"/>
      <c r="F28" s="86"/>
      <c r="G28" s="181" t="s">
        <v>225</v>
      </c>
      <c r="H28" s="86"/>
      <c r="I28" s="181" t="s">
        <v>226</v>
      </c>
      <c r="J28" s="182"/>
      <c r="K28" s="182"/>
      <c r="L28" s="182"/>
      <c r="M28" s="182"/>
      <c r="N28" s="232" t="s">
        <v>227</v>
      </c>
      <c r="V28" s="237" t="s">
        <v>228</v>
      </c>
      <c r="W28" s="237"/>
      <c r="X28" s="237"/>
      <c r="Y28" s="237"/>
      <c r="Z28" s="237"/>
      <c r="AJ28" s="88"/>
      <c r="AK28" s="88"/>
      <c r="AL28" s="89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88"/>
      <c r="BG28" s="88"/>
      <c r="BH28" s="89"/>
    </row>
    <row r="29" spans="1:72">
      <c r="A29" s="86"/>
      <c r="B29" s="86"/>
      <c r="C29" s="86"/>
      <c r="D29" s="86"/>
      <c r="E29" s="86"/>
      <c r="F29" s="86"/>
      <c r="G29" s="277" t="s">
        <v>229</v>
      </c>
      <c r="H29" s="86"/>
      <c r="I29" s="189" t="s">
        <v>230</v>
      </c>
      <c r="J29" s="183" t="s">
        <v>231</v>
      </c>
      <c r="K29" s="184"/>
      <c r="L29" s="184"/>
      <c r="M29" s="184"/>
      <c r="N29" s="184"/>
      <c r="O29" s="184"/>
      <c r="P29" s="184"/>
      <c r="Q29" s="184"/>
      <c r="R29" s="184"/>
      <c r="S29" s="184"/>
      <c r="T29" s="185"/>
      <c r="V29" s="194" t="s">
        <v>232</v>
      </c>
      <c r="W29" s="194" t="s">
        <v>233</v>
      </c>
      <c r="X29" s="195"/>
      <c r="Y29" s="195"/>
      <c r="Z29" s="195"/>
      <c r="AA29" s="195"/>
      <c r="AB29" s="294" t="s">
        <v>234</v>
      </c>
      <c r="AC29" s="295"/>
      <c r="AD29" s="296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9"/>
    </row>
    <row r="30" spans="1:72">
      <c r="A30" s="86"/>
      <c r="B30" s="86"/>
      <c r="C30" s="86"/>
      <c r="D30" s="86"/>
      <c r="E30" s="86"/>
      <c r="F30" s="86"/>
      <c r="G30" s="278"/>
      <c r="H30" s="86"/>
      <c r="I30" s="189" t="s">
        <v>235</v>
      </c>
      <c r="J30" s="189" t="s">
        <v>236</v>
      </c>
      <c r="K30" s="190"/>
      <c r="L30" s="190"/>
      <c r="M30" s="190"/>
      <c r="N30" s="190"/>
      <c r="O30" s="190"/>
      <c r="P30" s="190"/>
      <c r="Q30" s="190"/>
      <c r="R30" s="190"/>
      <c r="S30" s="190"/>
      <c r="T30" s="191"/>
      <c r="V30" s="192" t="s">
        <v>237</v>
      </c>
      <c r="W30" s="183" t="s">
        <v>238</v>
      </c>
      <c r="X30" s="184"/>
      <c r="Y30" s="184"/>
      <c r="AB30" s="297" t="s">
        <v>238</v>
      </c>
      <c r="AC30" s="298"/>
      <c r="AD30" s="299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9"/>
    </row>
    <row r="31" spans="1:72">
      <c r="A31" s="86"/>
      <c r="B31" s="86"/>
      <c r="C31" s="86"/>
      <c r="D31" s="86"/>
      <c r="E31" s="86"/>
      <c r="F31" s="86"/>
      <c r="G31" s="86"/>
      <c r="H31" s="86"/>
      <c r="I31" s="208" t="s">
        <v>239</v>
      </c>
      <c r="J31" s="208"/>
      <c r="K31" s="208"/>
      <c r="L31" s="208"/>
      <c r="V31" s="186" t="s">
        <v>240</v>
      </c>
      <c r="W31" s="202" t="s">
        <v>241</v>
      </c>
      <c r="X31" s="203"/>
      <c r="Y31" s="203"/>
      <c r="Z31" s="203"/>
      <c r="AA31" s="204"/>
      <c r="AB31" s="291" t="s">
        <v>241</v>
      </c>
      <c r="AC31" s="292"/>
      <c r="AD31" s="293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9"/>
    </row>
    <row r="32" spans="1:72">
      <c r="A32" s="86"/>
      <c r="B32" s="86"/>
      <c r="C32" s="86"/>
      <c r="D32" s="86"/>
      <c r="E32" s="86"/>
      <c r="F32" s="86"/>
      <c r="G32" s="86"/>
      <c r="H32" s="86"/>
      <c r="AA32" s="20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9"/>
    </row>
    <row r="33" spans="1:60" ht="24">
      <c r="A33" s="86"/>
      <c r="B33" s="86"/>
      <c r="C33" s="86"/>
      <c r="D33" s="86"/>
      <c r="E33" s="86"/>
      <c r="F33" s="86"/>
      <c r="G33" s="86"/>
      <c r="H33" s="86"/>
      <c r="I33" s="181" t="s">
        <v>242</v>
      </c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9"/>
    </row>
    <row r="34" spans="1:60">
      <c r="A34" s="86"/>
      <c r="B34" s="86"/>
      <c r="C34" s="86"/>
      <c r="D34" s="86"/>
      <c r="E34" s="86"/>
      <c r="F34" s="86"/>
      <c r="G34" s="86"/>
      <c r="H34" s="86"/>
      <c r="I34" s="194" t="s">
        <v>243</v>
      </c>
      <c r="J34" s="194" t="s">
        <v>244</v>
      </c>
      <c r="K34" s="195"/>
      <c r="L34" s="195"/>
      <c r="M34" s="190"/>
      <c r="N34" s="194" t="s">
        <v>245</v>
      </c>
      <c r="O34" s="190"/>
      <c r="P34" s="190"/>
      <c r="Q34" s="191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  <c r="BH34" s="89"/>
    </row>
    <row r="35" spans="1:60">
      <c r="A35" s="86"/>
      <c r="B35" s="86"/>
      <c r="C35" s="86"/>
      <c r="D35" s="86"/>
      <c r="E35" s="86"/>
      <c r="F35" s="86"/>
      <c r="G35" s="86"/>
      <c r="H35" s="86"/>
      <c r="I35" s="192" t="s">
        <v>246</v>
      </c>
      <c r="J35" s="196" t="s">
        <v>247</v>
      </c>
      <c r="K35" s="197"/>
      <c r="L35" s="197"/>
      <c r="M35" s="198"/>
      <c r="N35" s="192" t="s">
        <v>248</v>
      </c>
      <c r="Q35" s="193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9"/>
    </row>
    <row r="36" spans="1:60">
      <c r="A36" s="86"/>
      <c r="B36" s="86"/>
      <c r="C36" s="86"/>
      <c r="D36" s="86"/>
      <c r="E36" s="86"/>
      <c r="F36" s="86"/>
      <c r="G36" s="86"/>
      <c r="H36" s="86"/>
      <c r="I36" s="192" t="s">
        <v>249</v>
      </c>
      <c r="J36" s="199" t="s">
        <v>250</v>
      </c>
      <c r="K36" s="200"/>
      <c r="L36" s="200"/>
      <c r="M36" s="201"/>
      <c r="N36" s="192" t="s">
        <v>251</v>
      </c>
      <c r="Q36" s="193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9"/>
    </row>
    <row r="37" spans="1:60">
      <c r="A37" s="86"/>
      <c r="B37" s="86"/>
      <c r="C37" s="86"/>
      <c r="D37" s="86"/>
      <c r="E37" s="86"/>
      <c r="F37" s="86"/>
      <c r="G37" s="86"/>
      <c r="H37" s="86"/>
      <c r="I37" s="186" t="s">
        <v>252</v>
      </c>
      <c r="J37" s="202" t="s">
        <v>253</v>
      </c>
      <c r="K37" s="203"/>
      <c r="L37" s="203"/>
      <c r="M37" s="204"/>
      <c r="N37" s="186" t="s">
        <v>254</v>
      </c>
      <c r="O37" s="187"/>
      <c r="P37" s="187"/>
      <c r="Q37" s="1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9"/>
    </row>
    <row r="38" spans="1:60">
      <c r="A38" s="86"/>
      <c r="B38" s="86"/>
      <c r="C38" s="86"/>
      <c r="D38" s="86"/>
      <c r="E38" s="86"/>
      <c r="F38" s="86"/>
      <c r="G38" s="86"/>
      <c r="H38" s="86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9"/>
      <c r="AG38" s="88"/>
      <c r="AH38" s="88"/>
      <c r="AI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9"/>
    </row>
    <row r="39" spans="1:60">
      <c r="A39" s="86"/>
      <c r="B39" s="86"/>
      <c r="C39" s="86"/>
      <c r="D39" s="86"/>
      <c r="E39" s="86"/>
      <c r="F39" s="86"/>
      <c r="G39" s="86"/>
      <c r="H39" s="86"/>
      <c r="I39" s="88"/>
      <c r="J39" s="88"/>
      <c r="K39" s="88"/>
      <c r="L39" s="88"/>
      <c r="M39" s="88"/>
      <c r="N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  <c r="BH39" s="89"/>
    </row>
    <row r="40" spans="1:60" ht="24">
      <c r="A40" s="86"/>
      <c r="B40" s="86"/>
      <c r="C40" s="86"/>
      <c r="D40" s="86"/>
      <c r="E40" s="86"/>
      <c r="F40" s="86"/>
      <c r="G40" s="86"/>
      <c r="H40" s="238"/>
      <c r="I40" s="239" t="s">
        <v>255</v>
      </c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0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9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  <c r="BE40" s="88"/>
      <c r="BF40" s="88"/>
      <c r="BG40" s="88"/>
      <c r="BH40" s="89"/>
    </row>
    <row r="41" spans="1:60">
      <c r="A41" s="86"/>
      <c r="B41" s="86"/>
      <c r="C41" s="86"/>
      <c r="D41" s="86"/>
      <c r="E41" s="86"/>
      <c r="F41" s="86"/>
      <c r="G41" s="86"/>
      <c r="H41" s="241"/>
      <c r="I41" s="242" t="s">
        <v>256</v>
      </c>
      <c r="J41" s="250" t="s">
        <v>257</v>
      </c>
      <c r="K41" s="243"/>
      <c r="L41" s="243"/>
      <c r="M41" s="243"/>
      <c r="N41" s="243"/>
      <c r="O41" s="243"/>
      <c r="P41" s="243"/>
      <c r="Q41" s="244"/>
      <c r="R41" s="240"/>
      <c r="S41" s="240"/>
      <c r="T41" s="240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9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9"/>
    </row>
    <row r="42" spans="1:60">
      <c r="A42" s="86"/>
      <c r="B42" s="86"/>
      <c r="C42" s="86"/>
      <c r="D42" s="86"/>
      <c r="E42" s="86"/>
      <c r="F42" s="86"/>
      <c r="G42" s="86"/>
      <c r="H42" s="238"/>
      <c r="I42" s="242" t="s">
        <v>258</v>
      </c>
      <c r="J42" s="251" t="s">
        <v>259</v>
      </c>
      <c r="K42" s="245"/>
      <c r="L42" s="245"/>
      <c r="M42" s="245"/>
      <c r="N42" s="245"/>
      <c r="O42" s="245"/>
      <c r="P42" s="245"/>
      <c r="Q42" s="246"/>
      <c r="R42" s="240"/>
      <c r="S42" s="240"/>
      <c r="T42" s="240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9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9"/>
    </row>
    <row r="43" spans="1:60">
      <c r="A43" s="86"/>
      <c r="B43" s="86"/>
      <c r="C43" s="86"/>
      <c r="D43" s="86"/>
      <c r="E43" s="86"/>
      <c r="F43" s="86"/>
      <c r="G43" s="86"/>
      <c r="H43" s="238"/>
      <c r="I43" s="240"/>
      <c r="J43" s="240"/>
      <c r="K43" s="240"/>
      <c r="L43" s="240"/>
      <c r="M43" s="240"/>
      <c r="N43" s="240"/>
      <c r="O43" s="240"/>
      <c r="P43" s="240"/>
      <c r="Q43" s="240"/>
      <c r="R43" s="240"/>
      <c r="S43" s="240"/>
      <c r="T43" s="240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9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9"/>
    </row>
    <row r="44" spans="1:60" ht="24">
      <c r="A44" s="86"/>
      <c r="B44" s="86"/>
      <c r="C44" s="86"/>
      <c r="D44" s="86"/>
      <c r="E44" s="86"/>
      <c r="F44" s="86"/>
      <c r="G44" s="86"/>
      <c r="H44" s="238"/>
      <c r="I44" s="239" t="s">
        <v>260</v>
      </c>
      <c r="J44" s="240"/>
      <c r="K44" s="240"/>
      <c r="L44" s="240"/>
      <c r="M44" s="240"/>
      <c r="N44" s="240"/>
      <c r="O44" s="240"/>
      <c r="P44" s="240"/>
      <c r="Q44" s="240"/>
      <c r="R44" s="240"/>
      <c r="S44" s="240"/>
      <c r="T44" s="240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9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8"/>
      <c r="BH44" s="89"/>
    </row>
    <row r="45" spans="1:60">
      <c r="A45" s="86"/>
      <c r="B45" s="86"/>
      <c r="C45" s="86"/>
      <c r="D45" s="86"/>
      <c r="E45" s="86"/>
      <c r="F45" s="86"/>
      <c r="G45" s="86"/>
      <c r="H45" s="238"/>
      <c r="I45" s="242" t="s">
        <v>256</v>
      </c>
      <c r="J45" s="250" t="s">
        <v>257</v>
      </c>
      <c r="K45" s="243"/>
      <c r="L45" s="243"/>
      <c r="M45" s="243"/>
      <c r="N45" s="243"/>
      <c r="O45" s="243"/>
      <c r="P45" s="243"/>
      <c r="Q45" s="244"/>
      <c r="R45" s="240"/>
      <c r="S45" s="240"/>
      <c r="T45" s="240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9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  <c r="BH45" s="89"/>
    </row>
    <row r="46" spans="1:60">
      <c r="A46" s="86"/>
      <c r="B46" s="86"/>
      <c r="C46" s="86"/>
      <c r="D46" s="86"/>
      <c r="E46" s="86"/>
      <c r="F46" s="86"/>
      <c r="G46" s="86"/>
      <c r="H46" s="238"/>
      <c r="I46" s="242" t="s">
        <v>258</v>
      </c>
      <c r="J46" s="251" t="s">
        <v>259</v>
      </c>
      <c r="K46" s="245"/>
      <c r="L46" s="245"/>
      <c r="M46" s="245"/>
      <c r="N46" s="245"/>
      <c r="O46" s="245"/>
      <c r="P46" s="245"/>
      <c r="Q46" s="246"/>
      <c r="R46" s="240"/>
      <c r="S46" s="240"/>
      <c r="T46" s="240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9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8"/>
      <c r="BH46" s="89"/>
    </row>
    <row r="47" spans="1:60">
      <c r="A47" s="86"/>
      <c r="B47" s="86"/>
      <c r="C47" s="86"/>
      <c r="D47" s="86"/>
      <c r="E47" s="86"/>
      <c r="F47" s="86"/>
      <c r="G47" s="86"/>
      <c r="H47" s="238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9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8"/>
      <c r="BD47" s="88"/>
      <c r="BE47" s="88"/>
      <c r="BF47" s="88"/>
      <c r="BG47" s="88"/>
      <c r="BH47" s="89"/>
    </row>
    <row r="48" spans="1:60" ht="24">
      <c r="A48" s="86"/>
      <c r="B48" s="86"/>
      <c r="C48" s="86"/>
      <c r="D48" s="86"/>
      <c r="E48" s="86"/>
      <c r="F48" s="86"/>
      <c r="G48" s="86"/>
      <c r="H48" s="238"/>
      <c r="I48" s="239" t="s">
        <v>261</v>
      </c>
      <c r="J48" s="240"/>
      <c r="K48" s="240"/>
      <c r="L48" s="240"/>
      <c r="M48" s="240"/>
      <c r="N48" s="240"/>
      <c r="O48" s="240"/>
      <c r="P48" s="240"/>
      <c r="Q48" s="240"/>
      <c r="R48" s="240"/>
      <c r="S48" s="240"/>
      <c r="T48" s="240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9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88"/>
      <c r="BC48" s="88"/>
      <c r="BD48" s="88"/>
      <c r="BE48" s="88"/>
      <c r="BF48" s="88"/>
      <c r="BG48" s="88"/>
      <c r="BH48" s="89"/>
    </row>
    <row r="49" spans="1:60">
      <c r="A49" s="86"/>
      <c r="B49" s="86"/>
      <c r="C49" s="86"/>
      <c r="D49" s="86"/>
      <c r="E49" s="86"/>
      <c r="F49" s="86"/>
      <c r="G49" s="86"/>
      <c r="H49" s="238"/>
      <c r="I49" s="242" t="s">
        <v>256</v>
      </c>
      <c r="J49" s="250" t="s">
        <v>257</v>
      </c>
      <c r="K49" s="243"/>
      <c r="L49" s="243"/>
      <c r="M49" s="243"/>
      <c r="N49" s="243"/>
      <c r="O49" s="243"/>
      <c r="P49" s="243"/>
      <c r="Q49" s="244"/>
      <c r="R49" s="240"/>
      <c r="S49" s="240"/>
      <c r="T49" s="240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9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88"/>
      <c r="BD49" s="88"/>
      <c r="BE49" s="88"/>
      <c r="BF49" s="88"/>
      <c r="BG49" s="88"/>
      <c r="BH49" s="89"/>
    </row>
    <row r="50" spans="1:60">
      <c r="A50" s="86"/>
      <c r="B50" s="86"/>
      <c r="C50" s="86"/>
      <c r="D50" s="86"/>
      <c r="E50" s="86"/>
      <c r="F50" s="86"/>
      <c r="G50" s="86"/>
      <c r="H50" s="238"/>
      <c r="I50" s="242" t="s">
        <v>258</v>
      </c>
      <c r="J50" s="251" t="s">
        <v>259</v>
      </c>
      <c r="K50" s="245"/>
      <c r="L50" s="245"/>
      <c r="M50" s="245"/>
      <c r="N50" s="245"/>
      <c r="O50" s="245"/>
      <c r="P50" s="245"/>
      <c r="Q50" s="246"/>
      <c r="R50" s="240"/>
      <c r="S50" s="240"/>
      <c r="T50" s="240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9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9"/>
    </row>
    <row r="51" spans="1:60">
      <c r="A51" s="86"/>
      <c r="B51" s="86"/>
      <c r="C51" s="86"/>
      <c r="D51" s="86"/>
      <c r="E51" s="86"/>
      <c r="F51" s="86"/>
      <c r="G51" s="86"/>
      <c r="H51" s="238"/>
      <c r="I51" s="240"/>
      <c r="J51" s="240"/>
      <c r="K51" s="240"/>
      <c r="L51" s="240"/>
      <c r="M51" s="240"/>
      <c r="N51" s="240"/>
      <c r="O51" s="240"/>
      <c r="P51" s="240"/>
      <c r="Q51" s="240"/>
      <c r="R51" s="240"/>
      <c r="S51" s="240"/>
      <c r="T51" s="240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9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88"/>
      <c r="BD51" s="88"/>
      <c r="BE51" s="88"/>
      <c r="BF51" s="88"/>
      <c r="BG51" s="88"/>
      <c r="BH51" s="89"/>
    </row>
    <row r="52" spans="1:60">
      <c r="A52" s="86"/>
      <c r="B52" s="86"/>
      <c r="C52" s="86"/>
      <c r="D52" s="86"/>
      <c r="E52" s="86"/>
      <c r="F52" s="86"/>
      <c r="G52" s="86"/>
      <c r="H52" s="238"/>
      <c r="I52" s="247" t="s">
        <v>262</v>
      </c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9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  <c r="BH52" s="89"/>
    </row>
    <row r="53" spans="1:60">
      <c r="I53" s="111"/>
    </row>
    <row r="54" spans="1:60" ht="21.95">
      <c r="A54" s="133" t="s">
        <v>188</v>
      </c>
    </row>
    <row r="55" spans="1:60" ht="21.95">
      <c r="A55" s="134" t="s">
        <v>194</v>
      </c>
      <c r="G55" s="111"/>
    </row>
    <row r="56" spans="1:60">
      <c r="G56" s="111"/>
    </row>
    <row r="57" spans="1:60" ht="24">
      <c r="A57" s="120" t="s">
        <v>199</v>
      </c>
      <c r="G57" s="111"/>
    </row>
    <row r="58" spans="1:60">
      <c r="A58" s="111"/>
      <c r="G58" s="111"/>
    </row>
    <row r="59" spans="1:60"/>
    <row r="60" spans="1:60"/>
    <row r="61" spans="1:60"/>
    <row r="62" spans="1:60"/>
    <row r="63" spans="1:60"/>
    <row r="64" spans="1:60"/>
    <row r="65"/>
    <row r="66"/>
    <row r="67"/>
    <row r="68"/>
    <row r="106" spans="11:24">
      <c r="K106" s="205" t="s">
        <v>263</v>
      </c>
      <c r="L106" s="206"/>
      <c r="M106" s="206"/>
      <c r="N106" s="206"/>
      <c r="O106" s="206"/>
      <c r="P106" s="206"/>
      <c r="Q106" s="206"/>
      <c r="R106" s="206"/>
      <c r="S106" s="206"/>
      <c r="T106" s="206"/>
      <c r="U106" s="206"/>
      <c r="V106" s="206"/>
      <c r="W106" s="206"/>
      <c r="X106" s="206"/>
    </row>
    <row r="107" spans="11:24">
      <c r="K107" s="207" t="s">
        <v>264</v>
      </c>
      <c r="L107" s="206"/>
      <c r="M107" s="206"/>
      <c r="N107" s="206"/>
      <c r="O107" s="206"/>
      <c r="P107" s="206"/>
      <c r="Q107" s="206"/>
      <c r="R107" s="206"/>
      <c r="S107" s="206"/>
      <c r="T107" s="206"/>
      <c r="U107" s="206"/>
      <c r="V107" s="206"/>
      <c r="W107" s="206"/>
      <c r="X107" s="206"/>
    </row>
    <row r="108" spans="11:24">
      <c r="K108" s="206" t="s">
        <v>265</v>
      </c>
      <c r="L108" s="206"/>
      <c r="M108" s="206"/>
      <c r="N108" s="206" t="s">
        <v>266</v>
      </c>
      <c r="O108" s="206"/>
      <c r="P108" s="206"/>
      <c r="Q108" s="206"/>
      <c r="R108" s="206"/>
      <c r="S108" s="206"/>
      <c r="T108" s="206"/>
      <c r="U108" s="206"/>
      <c r="V108" s="206"/>
      <c r="W108" s="206"/>
      <c r="X108" s="206"/>
    </row>
    <row r="109" spans="11:24">
      <c r="K109" s="206" t="s">
        <v>267</v>
      </c>
      <c r="L109" s="206"/>
      <c r="M109" s="206"/>
      <c r="N109" s="206" t="s">
        <v>268</v>
      </c>
      <c r="O109" s="206"/>
      <c r="P109" s="206"/>
      <c r="Q109" s="206"/>
      <c r="R109" s="206"/>
      <c r="S109" s="206"/>
      <c r="T109" s="206"/>
      <c r="U109" s="206"/>
      <c r="V109" s="206"/>
      <c r="W109" s="206"/>
      <c r="X109" s="206"/>
    </row>
    <row r="110" spans="11:24">
      <c r="K110" s="206" t="s">
        <v>254</v>
      </c>
      <c r="L110" s="206"/>
      <c r="M110" s="206"/>
      <c r="N110" s="206" t="s">
        <v>269</v>
      </c>
      <c r="O110" s="206"/>
      <c r="P110" s="206"/>
      <c r="Q110" s="206"/>
      <c r="R110" s="206"/>
      <c r="S110" s="206"/>
      <c r="T110" s="206"/>
      <c r="U110" s="206"/>
      <c r="V110" s="206"/>
      <c r="W110" s="206"/>
      <c r="X110" s="206"/>
    </row>
    <row r="111" spans="11:24">
      <c r="K111" s="206"/>
      <c r="L111" s="206"/>
      <c r="M111" s="206"/>
      <c r="N111" s="206"/>
      <c r="O111" s="206"/>
      <c r="P111" s="206"/>
      <c r="Q111" s="206"/>
      <c r="R111" s="206"/>
      <c r="S111" s="206"/>
      <c r="T111" s="206"/>
      <c r="U111" s="206"/>
      <c r="V111" s="206"/>
      <c r="W111" s="206"/>
      <c r="X111" s="206"/>
    </row>
    <row r="112" spans="11:24">
      <c r="K112" s="206"/>
      <c r="L112" s="206"/>
      <c r="M112" s="206"/>
      <c r="N112" s="206"/>
      <c r="O112" s="206"/>
      <c r="P112" s="206"/>
      <c r="Q112" s="206"/>
      <c r="R112" s="206"/>
      <c r="S112" s="206"/>
      <c r="T112" s="206"/>
      <c r="U112" s="206"/>
      <c r="V112" s="206"/>
      <c r="W112" s="206"/>
      <c r="X112" s="206"/>
    </row>
    <row r="113" spans="11:24">
      <c r="K113" s="206"/>
      <c r="L113" s="206"/>
      <c r="M113" s="206"/>
      <c r="N113" s="206"/>
      <c r="O113" s="206"/>
      <c r="P113" s="206"/>
      <c r="Q113" s="206"/>
      <c r="R113" s="206"/>
      <c r="S113" s="206"/>
      <c r="T113" s="206"/>
      <c r="U113" s="206"/>
      <c r="V113" s="206"/>
      <c r="W113" s="206"/>
      <c r="X113" s="206"/>
    </row>
    <row r="114" spans="11:24">
      <c r="K114" s="206"/>
      <c r="L114" s="206"/>
      <c r="M114" s="206"/>
      <c r="N114" s="206"/>
      <c r="O114" s="206"/>
      <c r="P114" s="206"/>
      <c r="Q114" s="206"/>
      <c r="R114" s="206"/>
      <c r="S114" s="206"/>
      <c r="T114" s="206"/>
      <c r="U114" s="206"/>
      <c r="V114" s="206"/>
      <c r="W114" s="206"/>
      <c r="X114" s="206"/>
    </row>
    <row r="115" spans="11:24">
      <c r="K115" s="206" t="s">
        <v>270</v>
      </c>
      <c r="L115" s="206"/>
      <c r="M115" s="206"/>
      <c r="N115" s="206"/>
      <c r="O115" s="206" t="s">
        <v>271</v>
      </c>
      <c r="P115" s="206"/>
      <c r="Q115" s="206"/>
      <c r="R115" s="206"/>
      <c r="S115" s="206"/>
      <c r="T115" s="206"/>
      <c r="U115" s="206"/>
      <c r="V115" s="206"/>
      <c r="W115" s="206"/>
      <c r="X115" s="206"/>
    </row>
    <row r="116" spans="11:24">
      <c r="K116" s="206"/>
      <c r="L116" s="206">
        <v>1</v>
      </c>
      <c r="M116" s="206" t="s">
        <v>272</v>
      </c>
      <c r="N116" s="206"/>
      <c r="O116" s="206" t="s">
        <v>273</v>
      </c>
      <c r="P116" s="206"/>
      <c r="Q116" s="206"/>
      <c r="R116" s="206"/>
      <c r="S116" s="206"/>
      <c r="T116" s="206"/>
      <c r="U116" s="206"/>
      <c r="V116" s="206"/>
      <c r="W116" s="206"/>
      <c r="X116" s="206"/>
    </row>
    <row r="117" spans="11:24">
      <c r="K117" s="206"/>
      <c r="L117" s="206">
        <v>2</v>
      </c>
      <c r="M117" s="206" t="s">
        <v>274</v>
      </c>
      <c r="N117" s="206"/>
      <c r="O117" s="206"/>
      <c r="P117" s="206"/>
      <c r="Q117" s="206"/>
      <c r="R117" s="206"/>
      <c r="S117" s="206"/>
      <c r="T117" s="206"/>
      <c r="U117" s="206" t="s">
        <v>275</v>
      </c>
      <c r="V117" s="206"/>
      <c r="W117" s="206"/>
      <c r="X117" s="206"/>
    </row>
    <row r="118" spans="11:24">
      <c r="K118" s="206"/>
      <c r="L118" s="206"/>
      <c r="M118" s="206"/>
      <c r="N118" s="206"/>
      <c r="O118" s="206"/>
      <c r="P118" s="206"/>
      <c r="Q118" s="206"/>
      <c r="R118" s="206"/>
      <c r="S118" s="206"/>
      <c r="T118" s="206"/>
      <c r="U118" s="206"/>
      <c r="V118" s="206"/>
      <c r="W118" s="206"/>
      <c r="X118" s="206"/>
    </row>
    <row r="119" spans="11:24">
      <c r="K119" s="206"/>
      <c r="L119" s="206"/>
      <c r="M119" s="206"/>
      <c r="N119" s="206"/>
      <c r="O119" s="206"/>
      <c r="P119" s="206"/>
      <c r="Q119" s="206"/>
      <c r="R119" s="206"/>
      <c r="S119" s="206"/>
      <c r="T119" s="206"/>
      <c r="U119" s="206"/>
      <c r="V119" s="206"/>
      <c r="W119" s="206"/>
      <c r="X119" s="206"/>
    </row>
    <row r="120" spans="11:24">
      <c r="K120" s="206" t="s">
        <v>276</v>
      </c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</row>
    <row r="121" spans="11:24">
      <c r="K121" s="206"/>
      <c r="L121" s="206"/>
      <c r="M121" s="206" t="s">
        <v>277</v>
      </c>
      <c r="N121" s="206"/>
      <c r="O121" s="206"/>
      <c r="P121" s="206"/>
      <c r="Q121" s="206"/>
      <c r="R121" s="206"/>
      <c r="S121" s="206"/>
      <c r="T121" s="206"/>
      <c r="U121" s="206"/>
      <c r="V121" s="206"/>
      <c r="W121" s="206"/>
      <c r="X121" s="206"/>
    </row>
    <row r="122" spans="11:24">
      <c r="K122" s="206"/>
      <c r="L122" s="206" t="s">
        <v>274</v>
      </c>
      <c r="M122" s="206" t="s">
        <v>278</v>
      </c>
      <c r="N122" s="206"/>
      <c r="O122" s="206"/>
      <c r="P122" s="206"/>
      <c r="Q122" s="206"/>
      <c r="R122" s="206"/>
      <c r="S122" s="206"/>
      <c r="T122" s="206"/>
      <c r="U122" s="206"/>
      <c r="V122" s="206"/>
      <c r="W122" s="206"/>
      <c r="X122" s="206"/>
    </row>
    <row r="123" spans="11:24">
      <c r="K123" s="206"/>
      <c r="L123" s="206"/>
      <c r="M123" s="206" t="s">
        <v>279</v>
      </c>
      <c r="N123" s="206"/>
      <c r="O123" s="206"/>
      <c r="P123" s="206"/>
      <c r="Q123" s="206"/>
      <c r="R123" s="206"/>
      <c r="S123" s="206"/>
      <c r="T123" s="206"/>
      <c r="U123" s="206"/>
      <c r="V123" s="206"/>
      <c r="W123" s="206"/>
      <c r="X123" s="206"/>
    </row>
    <row r="124" spans="11:24"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6"/>
      <c r="X124" s="206"/>
    </row>
  </sheetData>
  <mergeCells count="22">
    <mergeCell ref="AB31:AD31"/>
    <mergeCell ref="BM4:BP4"/>
    <mergeCell ref="BQ4:BT4"/>
    <mergeCell ref="AZ4:BD4"/>
    <mergeCell ref="AB29:AD29"/>
    <mergeCell ref="AB30:AD30"/>
    <mergeCell ref="BI3:BT3"/>
    <mergeCell ref="J1:K1"/>
    <mergeCell ref="J2:K2"/>
    <mergeCell ref="I3:BH3"/>
    <mergeCell ref="I4:L4"/>
    <mergeCell ref="M4:P4"/>
    <mergeCell ref="Q4:U4"/>
    <mergeCell ref="V4:Y4"/>
    <mergeCell ref="Z4:AC4"/>
    <mergeCell ref="BE4:BH4"/>
    <mergeCell ref="AD4:AH4"/>
    <mergeCell ref="AI4:AL4"/>
    <mergeCell ref="AM4:AQ4"/>
    <mergeCell ref="AR4:AU4"/>
    <mergeCell ref="AV4:AY4"/>
    <mergeCell ref="BI4:BL4"/>
  </mergeCells>
  <conditionalFormatting sqref="I5:BT5">
    <cfRule type="expression" dxfId="44" priority="3">
      <formula>AND(I$5 &lt;= TODAY(), TODAY() &lt; I$5 + 7)</formula>
    </cfRule>
  </conditionalFormatting>
  <conditionalFormatting sqref="L1">
    <cfRule type="expression" dxfId="43" priority="1">
      <formula>AND(L$5 &lt;= TODAY(), TODAY() &lt; L$5 + 7)</formula>
    </cfRule>
  </conditionalFormatting>
  <hyperlinks>
    <hyperlink ref="M2" r:id="rId1" xr:uid="{8818A0CD-23A7-400F-9902-60990399A172}"/>
    <hyperlink ref="N28" location="'Project Plan'!B24" display="Ref. Task Document &amp; Handover" xr:uid="{C861E6C3-61FF-447C-9E46-C70F1B7C1182}"/>
  </hyperlinks>
  <pageMargins left="0.7" right="0.7" top="0.75" bottom="0.75" header="0.3" footer="0.3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F562B-A802-4CE1-BF3E-A5E409DE1935}">
  <sheetPr>
    <tabColor rgb="FF00B050"/>
  </sheetPr>
  <dimension ref="A1:BQ99"/>
  <sheetViews>
    <sheetView showGridLines="0" zoomScale="55" zoomScaleNormal="55" workbookViewId="0"/>
  </sheetViews>
  <sheetFormatPr defaultColWidth="8.85546875" defaultRowHeight="15"/>
  <cols>
    <col min="1" max="1" width="34.42578125" customWidth="1"/>
    <col min="2" max="2" width="47.7109375" customWidth="1"/>
    <col min="3" max="3" width="21.140625" customWidth="1"/>
    <col min="4" max="4" width="17" bestFit="1" customWidth="1"/>
    <col min="5" max="5" width="15.140625" customWidth="1"/>
    <col min="6" max="57" width="5.7109375" customWidth="1"/>
    <col min="58" max="69" width="5" customWidth="1"/>
  </cols>
  <sheetData>
    <row r="1" spans="1:69" ht="18.95">
      <c r="A1" s="109" t="s">
        <v>135</v>
      </c>
      <c r="B1" s="211">
        <f>AVERAGE(Table14[% Progress])</f>
        <v>0.22500000000000003</v>
      </c>
      <c r="C1" s="118" t="s">
        <v>137</v>
      </c>
      <c r="D1" s="117">
        <v>46083</v>
      </c>
      <c r="F1" s="119" t="s">
        <v>138</v>
      </c>
      <c r="G1" s="281">
        <v>46027</v>
      </c>
      <c r="H1" s="281"/>
      <c r="I1" s="212"/>
      <c r="J1" t="s">
        <v>200</v>
      </c>
      <c r="O1" s="213"/>
      <c r="P1" t="s">
        <v>201</v>
      </c>
      <c r="BE1" s="155" t="s">
        <v>202</v>
      </c>
    </row>
    <row r="2" spans="1:69" ht="18.95">
      <c r="A2" s="109" t="s">
        <v>139</v>
      </c>
      <c r="B2" s="211">
        <f ca="1">(TODAY()-$D$1)/($D$2-$D$1)</f>
        <v>0.54666666666666663</v>
      </c>
      <c r="C2" s="118" t="s">
        <v>140</v>
      </c>
      <c r="D2" s="117">
        <v>46383</v>
      </c>
      <c r="F2" s="125"/>
      <c r="G2" s="282"/>
      <c r="H2" s="282"/>
      <c r="I2" s="130" t="s">
        <v>142</v>
      </c>
      <c r="J2" s="129" t="s">
        <v>143</v>
      </c>
      <c r="N2" s="111"/>
      <c r="AE2" s="155" t="s">
        <v>203</v>
      </c>
      <c r="AV2" s="155" t="s">
        <v>204</v>
      </c>
      <c r="BC2" s="155" t="s">
        <v>205</v>
      </c>
    </row>
    <row r="3" spans="1:69">
      <c r="F3" s="283" t="s">
        <v>144</v>
      </c>
      <c r="G3" s="284"/>
      <c r="H3" s="284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4"/>
      <c r="AP3" s="284"/>
      <c r="AQ3" s="284"/>
      <c r="AR3" s="284"/>
      <c r="AS3" s="284"/>
      <c r="AT3" s="284"/>
      <c r="AU3" s="284"/>
      <c r="AV3" s="284"/>
      <c r="AW3" s="284"/>
      <c r="AX3" s="284"/>
      <c r="AY3" s="284"/>
      <c r="AZ3" s="284"/>
      <c r="BA3" s="284"/>
      <c r="BB3" s="284"/>
      <c r="BC3" s="284"/>
      <c r="BD3" s="284"/>
      <c r="BE3" s="285"/>
      <c r="BF3" s="279" t="s">
        <v>207</v>
      </c>
      <c r="BG3" s="280"/>
      <c r="BH3" s="280"/>
      <c r="BI3" s="280"/>
      <c r="BJ3" s="280"/>
      <c r="BK3" s="280"/>
      <c r="BL3" s="280"/>
      <c r="BM3" s="280"/>
      <c r="BN3" s="280"/>
      <c r="BO3" s="280"/>
      <c r="BP3" s="280"/>
      <c r="BQ3" s="280"/>
    </row>
    <row r="4" spans="1:69">
      <c r="F4" s="286">
        <v>46037</v>
      </c>
      <c r="G4" s="287"/>
      <c r="H4" s="287"/>
      <c r="I4" s="288"/>
      <c r="J4" s="287">
        <f>M5</f>
        <v>46076</v>
      </c>
      <c r="K4" s="287"/>
      <c r="L4" s="287"/>
      <c r="M4" s="289"/>
      <c r="N4" s="290">
        <f>R5</f>
        <v>46111</v>
      </c>
      <c r="O4" s="287"/>
      <c r="P4" s="287"/>
      <c r="Q4" s="287"/>
      <c r="R4" s="289"/>
      <c r="S4" s="290">
        <f>V5</f>
        <v>46139</v>
      </c>
      <c r="T4" s="287"/>
      <c r="U4" s="287"/>
      <c r="V4" s="289"/>
      <c r="W4" s="290">
        <f>Z5</f>
        <v>46167</v>
      </c>
      <c r="X4" s="287"/>
      <c r="Y4" s="287"/>
      <c r="Z4" s="289"/>
      <c r="AA4" s="290">
        <f>AE5</f>
        <v>46202</v>
      </c>
      <c r="AB4" s="287"/>
      <c r="AC4" s="287"/>
      <c r="AD4" s="287"/>
      <c r="AE4" s="289"/>
      <c r="AF4" s="290">
        <f>AI5</f>
        <v>46230</v>
      </c>
      <c r="AG4" s="287"/>
      <c r="AH4" s="287"/>
      <c r="AI4" s="289"/>
      <c r="AJ4" s="290">
        <f>AN5</f>
        <v>46265</v>
      </c>
      <c r="AK4" s="287"/>
      <c r="AL4" s="287"/>
      <c r="AM4" s="287"/>
      <c r="AN4" s="289"/>
      <c r="AO4" s="290">
        <f>AR5</f>
        <v>46293</v>
      </c>
      <c r="AP4" s="287"/>
      <c r="AQ4" s="287"/>
      <c r="AR4" s="289"/>
      <c r="AS4" s="290">
        <f>AV5</f>
        <v>46321</v>
      </c>
      <c r="AT4" s="287"/>
      <c r="AU4" s="287"/>
      <c r="AV4" s="289"/>
      <c r="AW4" s="290">
        <f>BA5</f>
        <v>46356</v>
      </c>
      <c r="AX4" s="287"/>
      <c r="AY4" s="287"/>
      <c r="AZ4" s="287"/>
      <c r="BA4" s="289"/>
      <c r="BB4" s="290">
        <f>BE5</f>
        <v>46384</v>
      </c>
      <c r="BC4" s="287"/>
      <c r="BD4" s="287"/>
      <c r="BE4" s="289"/>
      <c r="BF4" s="290">
        <f>BI5</f>
        <v>46412</v>
      </c>
      <c r="BG4" s="287"/>
      <c r="BH4" s="287"/>
      <c r="BI4" s="289"/>
      <c r="BJ4" s="290">
        <f>BM5</f>
        <v>46440</v>
      </c>
      <c r="BK4" s="287"/>
      <c r="BL4" s="287"/>
      <c r="BM4" s="289"/>
      <c r="BN4" s="290">
        <f>BQ5</f>
        <v>46468</v>
      </c>
      <c r="BO4" s="287"/>
      <c r="BP4" s="287"/>
      <c r="BQ4" s="289"/>
    </row>
    <row r="5" spans="1:69" ht="18.95">
      <c r="A5" s="156" t="s">
        <v>280</v>
      </c>
      <c r="B5" s="85"/>
      <c r="F5" s="58">
        <f>G1</f>
        <v>46027</v>
      </c>
      <c r="G5" s="59">
        <f>F5+7</f>
        <v>46034</v>
      </c>
      <c r="H5" s="59">
        <f t="shared" ref="H5:R5" si="0">G5+7</f>
        <v>46041</v>
      </c>
      <c r="I5" s="60">
        <f t="shared" si="0"/>
        <v>46048</v>
      </c>
      <c r="J5" s="61">
        <f t="shared" si="0"/>
        <v>46055</v>
      </c>
      <c r="K5" s="59">
        <f t="shared" si="0"/>
        <v>46062</v>
      </c>
      <c r="L5" s="59">
        <f t="shared" si="0"/>
        <v>46069</v>
      </c>
      <c r="M5" s="62">
        <f t="shared" si="0"/>
        <v>46076</v>
      </c>
      <c r="N5" s="61">
        <f>M5+7</f>
        <v>46083</v>
      </c>
      <c r="O5" s="59">
        <f t="shared" si="0"/>
        <v>46090</v>
      </c>
      <c r="P5" s="59">
        <f t="shared" si="0"/>
        <v>46097</v>
      </c>
      <c r="Q5" s="59">
        <f t="shared" si="0"/>
        <v>46104</v>
      </c>
      <c r="R5" s="62">
        <f t="shared" si="0"/>
        <v>46111</v>
      </c>
      <c r="S5" s="61">
        <f>R5+7</f>
        <v>46118</v>
      </c>
      <c r="T5" s="59">
        <f t="shared" ref="T5:U5" si="1">S5+7</f>
        <v>46125</v>
      </c>
      <c r="U5" s="59">
        <f t="shared" si="1"/>
        <v>46132</v>
      </c>
      <c r="V5" s="62">
        <f>U5+7</f>
        <v>46139</v>
      </c>
      <c r="W5" s="61">
        <f>V5+7</f>
        <v>46146</v>
      </c>
      <c r="X5" s="59">
        <f t="shared" ref="X5:Y5" si="2">W5+7</f>
        <v>46153</v>
      </c>
      <c r="Y5" s="59">
        <f t="shared" si="2"/>
        <v>46160</v>
      </c>
      <c r="Z5" s="62">
        <f>Y5+7</f>
        <v>46167</v>
      </c>
      <c r="AA5" s="61">
        <f>Z5+7</f>
        <v>46174</v>
      </c>
      <c r="AB5" s="59">
        <f t="shared" ref="AB5:AD5" si="3">AA5+7</f>
        <v>46181</v>
      </c>
      <c r="AC5" s="59">
        <f t="shared" si="3"/>
        <v>46188</v>
      </c>
      <c r="AD5" s="59">
        <f t="shared" si="3"/>
        <v>46195</v>
      </c>
      <c r="AE5" s="62">
        <f>AD5+7</f>
        <v>46202</v>
      </c>
      <c r="AF5" s="61">
        <f>AE5+7</f>
        <v>46209</v>
      </c>
      <c r="AG5" s="59">
        <f t="shared" ref="AG5:AH5" si="4">AF5+7</f>
        <v>46216</v>
      </c>
      <c r="AH5" s="59">
        <f t="shared" si="4"/>
        <v>46223</v>
      </c>
      <c r="AI5" s="62">
        <f>AH5+7</f>
        <v>46230</v>
      </c>
      <c r="AJ5" s="61">
        <f>AI5+7</f>
        <v>46237</v>
      </c>
      <c r="AK5" s="59">
        <f>AJ5+7</f>
        <v>46244</v>
      </c>
      <c r="AL5" s="59">
        <f t="shared" ref="AL5:AN5" si="5">AK5+7</f>
        <v>46251</v>
      </c>
      <c r="AM5" s="59">
        <f t="shared" si="5"/>
        <v>46258</v>
      </c>
      <c r="AN5" s="62">
        <f t="shared" si="5"/>
        <v>46265</v>
      </c>
      <c r="AO5" s="61">
        <f>AN5+7</f>
        <v>46272</v>
      </c>
      <c r="AP5" s="59">
        <f t="shared" ref="AP5:AQ5" si="6">AO5+7</f>
        <v>46279</v>
      </c>
      <c r="AQ5" s="59">
        <f t="shared" si="6"/>
        <v>46286</v>
      </c>
      <c r="AR5" s="62">
        <f>AQ5+7</f>
        <v>46293</v>
      </c>
      <c r="AS5" s="61">
        <f>AR5+7</f>
        <v>46300</v>
      </c>
      <c r="AT5" s="59">
        <f t="shared" ref="AT5:AU5" si="7">AS5+7</f>
        <v>46307</v>
      </c>
      <c r="AU5" s="59">
        <f t="shared" si="7"/>
        <v>46314</v>
      </c>
      <c r="AV5" s="62">
        <f>AU5+7</f>
        <v>46321</v>
      </c>
      <c r="AW5" s="61">
        <f t="shared" ref="AW5:BA5" si="8">AV5+7</f>
        <v>46328</v>
      </c>
      <c r="AX5" s="59">
        <f t="shared" si="8"/>
        <v>46335</v>
      </c>
      <c r="AY5" s="59">
        <f t="shared" si="8"/>
        <v>46342</v>
      </c>
      <c r="AZ5" s="59">
        <f t="shared" si="8"/>
        <v>46349</v>
      </c>
      <c r="BA5" s="62">
        <f t="shared" si="8"/>
        <v>46356</v>
      </c>
      <c r="BB5" s="61">
        <f>BA5+7</f>
        <v>46363</v>
      </c>
      <c r="BC5" s="59">
        <f t="shared" ref="BC5:BD5" si="9">BB5+7</f>
        <v>46370</v>
      </c>
      <c r="BD5" s="59">
        <f t="shared" si="9"/>
        <v>46377</v>
      </c>
      <c r="BE5" s="62">
        <f>BD5+7</f>
        <v>46384</v>
      </c>
      <c r="BF5" s="61">
        <f>BE5+7</f>
        <v>46391</v>
      </c>
      <c r="BG5" s="59">
        <f t="shared" ref="BG5:BH5" si="10">BF5+7</f>
        <v>46398</v>
      </c>
      <c r="BH5" s="59">
        <f t="shared" si="10"/>
        <v>46405</v>
      </c>
      <c r="BI5" s="62">
        <f>BH5+7</f>
        <v>46412</v>
      </c>
      <c r="BJ5" s="61">
        <f>BI5+7</f>
        <v>46419</v>
      </c>
      <c r="BK5" s="59">
        <f t="shared" ref="BK5:BL5" si="11">BJ5+7</f>
        <v>46426</v>
      </c>
      <c r="BL5" s="59">
        <f t="shared" si="11"/>
        <v>46433</v>
      </c>
      <c r="BM5" s="62">
        <f>BL5+7</f>
        <v>46440</v>
      </c>
      <c r="BN5" s="61">
        <f>BM5+7</f>
        <v>46447</v>
      </c>
      <c r="BO5" s="59">
        <f t="shared" ref="BO5:BP5" si="12">BN5+7</f>
        <v>46454</v>
      </c>
      <c r="BP5" s="59">
        <f t="shared" si="12"/>
        <v>46461</v>
      </c>
      <c r="BQ5" s="62">
        <f>BP5+7</f>
        <v>46468</v>
      </c>
    </row>
    <row r="6" spans="1:69">
      <c r="A6" s="92" t="s">
        <v>146</v>
      </c>
      <c r="B6" s="92" t="s">
        <v>147</v>
      </c>
      <c r="C6" s="92" t="s">
        <v>148</v>
      </c>
      <c r="D6" s="92" t="s">
        <v>15</v>
      </c>
      <c r="E6" s="93" t="s">
        <v>149</v>
      </c>
      <c r="F6" s="63" t="s">
        <v>150</v>
      </c>
      <c r="G6" s="63" t="s">
        <v>151</v>
      </c>
      <c r="H6" s="63" t="s">
        <v>152</v>
      </c>
      <c r="I6" s="63" t="s">
        <v>153</v>
      </c>
      <c r="J6" s="63" t="s">
        <v>150</v>
      </c>
      <c r="K6" s="63" t="s">
        <v>151</v>
      </c>
      <c r="L6" s="63" t="s">
        <v>152</v>
      </c>
      <c r="M6" s="63" t="s">
        <v>153</v>
      </c>
      <c r="N6" s="63" t="s">
        <v>150</v>
      </c>
      <c r="O6" s="63" t="s">
        <v>151</v>
      </c>
      <c r="P6" s="63" t="s">
        <v>152</v>
      </c>
      <c r="Q6" s="63" t="s">
        <v>153</v>
      </c>
      <c r="R6" s="63" t="s">
        <v>154</v>
      </c>
      <c r="S6" s="63" t="s">
        <v>150</v>
      </c>
      <c r="T6" s="63" t="s">
        <v>151</v>
      </c>
      <c r="U6" s="63" t="s">
        <v>152</v>
      </c>
      <c r="V6" s="63" t="s">
        <v>153</v>
      </c>
      <c r="W6" s="63" t="s">
        <v>150</v>
      </c>
      <c r="X6" s="63" t="s">
        <v>151</v>
      </c>
      <c r="Y6" s="63" t="s">
        <v>152</v>
      </c>
      <c r="Z6" s="63" t="s">
        <v>153</v>
      </c>
      <c r="AA6" s="63" t="s">
        <v>150</v>
      </c>
      <c r="AB6" s="63" t="s">
        <v>151</v>
      </c>
      <c r="AC6" s="63" t="s">
        <v>152</v>
      </c>
      <c r="AD6" s="63" t="s">
        <v>153</v>
      </c>
      <c r="AE6" s="63" t="s">
        <v>154</v>
      </c>
      <c r="AF6" s="63" t="s">
        <v>150</v>
      </c>
      <c r="AG6" s="63" t="s">
        <v>151</v>
      </c>
      <c r="AH6" s="63" t="s">
        <v>152</v>
      </c>
      <c r="AI6" s="63" t="s">
        <v>153</v>
      </c>
      <c r="AJ6" s="63" t="s">
        <v>150</v>
      </c>
      <c r="AK6" s="63" t="s">
        <v>151</v>
      </c>
      <c r="AL6" s="63" t="s">
        <v>152</v>
      </c>
      <c r="AM6" s="63" t="s">
        <v>153</v>
      </c>
      <c r="AN6" s="63" t="s">
        <v>154</v>
      </c>
      <c r="AO6" s="63" t="s">
        <v>150</v>
      </c>
      <c r="AP6" s="63" t="s">
        <v>151</v>
      </c>
      <c r="AQ6" s="63" t="s">
        <v>152</v>
      </c>
      <c r="AR6" s="63" t="s">
        <v>153</v>
      </c>
      <c r="AS6" s="63" t="s">
        <v>150</v>
      </c>
      <c r="AT6" s="63" t="s">
        <v>151</v>
      </c>
      <c r="AU6" s="63" t="s">
        <v>152</v>
      </c>
      <c r="AV6" s="63" t="s">
        <v>153</v>
      </c>
      <c r="AW6" s="63" t="s">
        <v>150</v>
      </c>
      <c r="AX6" s="63" t="s">
        <v>151</v>
      </c>
      <c r="AY6" s="63" t="s">
        <v>152</v>
      </c>
      <c r="AZ6" s="63" t="s">
        <v>153</v>
      </c>
      <c r="BA6" s="63" t="s">
        <v>154</v>
      </c>
      <c r="BB6" s="63" t="s">
        <v>150</v>
      </c>
      <c r="BC6" s="63" t="s">
        <v>151</v>
      </c>
      <c r="BD6" s="63" t="s">
        <v>152</v>
      </c>
      <c r="BE6" s="63" t="s">
        <v>153</v>
      </c>
      <c r="BF6" s="63" t="s">
        <v>150</v>
      </c>
      <c r="BG6" s="63" t="s">
        <v>151</v>
      </c>
      <c r="BH6" s="63" t="s">
        <v>152</v>
      </c>
      <c r="BI6" s="63" t="s">
        <v>153</v>
      </c>
      <c r="BJ6" s="63" t="s">
        <v>150</v>
      </c>
      <c r="BK6" s="63" t="s">
        <v>151</v>
      </c>
      <c r="BL6" s="63" t="s">
        <v>152</v>
      </c>
      <c r="BM6" s="63" t="s">
        <v>153</v>
      </c>
      <c r="BN6" s="63" t="s">
        <v>150</v>
      </c>
      <c r="BO6" s="63" t="s">
        <v>151</v>
      </c>
      <c r="BP6" s="63" t="s">
        <v>152</v>
      </c>
      <c r="BQ6" s="63" t="s">
        <v>153</v>
      </c>
    </row>
    <row r="7" spans="1:69">
      <c r="A7" s="102" t="s">
        <v>155</v>
      </c>
      <c r="B7" s="94"/>
      <c r="C7" s="105" t="s">
        <v>211</v>
      </c>
      <c r="D7" s="105" t="s">
        <v>212</v>
      </c>
      <c r="E7" s="209" t="s">
        <v>50</v>
      </c>
      <c r="F7" s="97"/>
      <c r="G7" s="98"/>
      <c r="H7" s="98"/>
      <c r="I7" s="99"/>
      <c r="J7" s="98"/>
      <c r="K7" s="98"/>
      <c r="L7" s="73"/>
      <c r="M7" s="74"/>
      <c r="N7" s="73"/>
      <c r="O7" s="72"/>
      <c r="P7" s="73"/>
      <c r="Q7" s="73"/>
      <c r="R7" s="74"/>
      <c r="S7" s="72"/>
      <c r="T7" s="66"/>
      <c r="U7" s="66"/>
      <c r="V7" s="67"/>
      <c r="W7" s="65"/>
      <c r="X7" s="66"/>
      <c r="Y7" s="66"/>
      <c r="Z7" s="67"/>
      <c r="AA7" s="65"/>
      <c r="AB7" s="66"/>
      <c r="AC7" s="66"/>
      <c r="AD7" s="66"/>
      <c r="AE7" s="67"/>
      <c r="AF7" s="65"/>
      <c r="AG7" s="66"/>
      <c r="AH7" s="66"/>
      <c r="AI7" s="67"/>
      <c r="AJ7" s="65"/>
      <c r="AK7" s="66"/>
      <c r="AL7" s="66"/>
      <c r="AM7" s="66"/>
      <c r="AN7" s="67"/>
      <c r="AO7" s="65"/>
      <c r="AP7" s="66"/>
      <c r="AQ7" s="66"/>
      <c r="AR7" s="67"/>
      <c r="AS7" s="65"/>
      <c r="AT7" s="66"/>
      <c r="AU7" s="66"/>
      <c r="AV7" s="67"/>
      <c r="AW7" s="65"/>
      <c r="AX7" s="66"/>
      <c r="AY7" s="66"/>
      <c r="AZ7" s="66"/>
      <c r="BA7" s="67"/>
      <c r="BB7" s="65"/>
      <c r="BC7" s="66"/>
      <c r="BD7" s="66"/>
      <c r="BE7" s="67"/>
      <c r="BF7" s="65"/>
      <c r="BG7" s="66"/>
      <c r="BH7" s="66"/>
      <c r="BI7" s="67"/>
      <c r="BJ7" s="65"/>
      <c r="BK7" s="66"/>
      <c r="BL7" s="66"/>
      <c r="BM7" s="67"/>
      <c r="BN7" s="65"/>
      <c r="BO7" s="66"/>
      <c r="BP7" s="66"/>
      <c r="BQ7" s="67"/>
    </row>
    <row r="8" spans="1:69">
      <c r="A8" s="68"/>
      <c r="B8" s="69" t="s">
        <v>158</v>
      </c>
      <c r="C8" s="69"/>
      <c r="D8" s="69"/>
      <c r="E8" s="210">
        <v>0.9</v>
      </c>
      <c r="F8" s="65"/>
      <c r="G8" s="66"/>
      <c r="H8" s="66"/>
      <c r="I8" s="67"/>
      <c r="J8" s="65"/>
      <c r="K8" s="66"/>
      <c r="L8" s="100"/>
      <c r="M8" s="101"/>
      <c r="N8" s="100"/>
      <c r="O8" s="112"/>
      <c r="P8" s="65"/>
      <c r="Q8" s="65"/>
      <c r="R8" s="67"/>
      <c r="S8" s="65"/>
      <c r="T8" s="66"/>
      <c r="U8" s="66"/>
      <c r="V8" s="67"/>
      <c r="W8" s="65"/>
      <c r="X8" s="66"/>
      <c r="Y8" s="66"/>
      <c r="Z8" s="67"/>
      <c r="AA8" s="65"/>
      <c r="AB8" s="66"/>
      <c r="AC8" s="66"/>
      <c r="AD8" s="66"/>
      <c r="AE8" s="67"/>
      <c r="AF8" s="65"/>
      <c r="AG8" s="66"/>
      <c r="AH8" s="66"/>
      <c r="AI8" s="67"/>
      <c r="AJ8" s="65"/>
      <c r="AK8" s="66"/>
      <c r="AL8" s="66"/>
      <c r="AM8" s="66"/>
      <c r="AN8" s="67"/>
      <c r="AO8" s="65"/>
      <c r="AP8" s="66"/>
      <c r="AQ8" s="66"/>
      <c r="AR8" s="67"/>
      <c r="AS8" s="65"/>
      <c r="AT8" s="66"/>
      <c r="AU8" s="66"/>
      <c r="AV8" s="67"/>
      <c r="AW8" s="65"/>
      <c r="AX8" s="66"/>
      <c r="AY8" s="66"/>
      <c r="AZ8" s="66"/>
      <c r="BA8" s="67"/>
      <c r="BB8" s="65"/>
      <c r="BC8" s="66"/>
      <c r="BD8" s="66"/>
      <c r="BE8" s="67"/>
      <c r="BF8" s="65"/>
      <c r="BG8" s="66"/>
      <c r="BH8" s="66"/>
      <c r="BI8" s="67"/>
      <c r="BJ8" s="65"/>
      <c r="BK8" s="66"/>
      <c r="BL8" s="66"/>
      <c r="BM8" s="67"/>
      <c r="BN8" s="65"/>
      <c r="BO8" s="66"/>
      <c r="BP8" s="66"/>
      <c r="BQ8" s="67"/>
    </row>
    <row r="9" spans="1:69">
      <c r="A9" s="68"/>
      <c r="B9" s="69" t="s">
        <v>159</v>
      </c>
      <c r="C9" s="69"/>
      <c r="D9" s="69"/>
      <c r="E9" s="210">
        <v>1</v>
      </c>
      <c r="F9" s="65"/>
      <c r="G9" s="66"/>
      <c r="H9" s="66"/>
      <c r="I9" s="67"/>
      <c r="J9" s="65"/>
      <c r="K9" s="66"/>
      <c r="L9" s="66"/>
      <c r="M9" s="67"/>
      <c r="N9" s="66"/>
      <c r="O9" s="65"/>
      <c r="P9" s="106"/>
      <c r="Q9" s="106"/>
      <c r="R9" s="215"/>
      <c r="S9" s="216"/>
      <c r="T9" s="66"/>
      <c r="U9" s="66"/>
      <c r="V9" s="67"/>
      <c r="W9" s="65"/>
      <c r="X9" s="66"/>
      <c r="Y9" s="66"/>
      <c r="Z9" s="67"/>
      <c r="AA9" s="65"/>
      <c r="AB9" s="66"/>
      <c r="AC9" s="66"/>
      <c r="AD9" s="66"/>
      <c r="AE9" s="67"/>
      <c r="AF9" s="65"/>
      <c r="AG9" s="66"/>
      <c r="AH9" s="66"/>
      <c r="AI9" s="67"/>
      <c r="AJ9" s="65"/>
      <c r="AK9" s="66"/>
      <c r="AL9" s="66"/>
      <c r="AM9" s="66"/>
      <c r="AN9" s="67"/>
      <c r="AO9" s="65"/>
      <c r="AP9" s="66"/>
      <c r="AQ9" s="66"/>
      <c r="AR9" s="67"/>
      <c r="AS9" s="65"/>
      <c r="AT9" s="66"/>
      <c r="AU9" s="66"/>
      <c r="AV9" s="67"/>
      <c r="AW9" s="65"/>
      <c r="AX9" s="66"/>
      <c r="AY9" s="66"/>
      <c r="AZ9" s="66"/>
      <c r="BA9" s="67"/>
      <c r="BB9" s="65"/>
      <c r="BC9" s="66"/>
      <c r="BD9" s="66"/>
      <c r="BE9" s="67"/>
      <c r="BF9" s="65"/>
      <c r="BG9" s="66"/>
      <c r="BH9" s="66"/>
      <c r="BI9" s="67"/>
      <c r="BJ9" s="65"/>
      <c r="BK9" s="66"/>
      <c r="BL9" s="66"/>
      <c r="BM9" s="67"/>
      <c r="BN9" s="65"/>
      <c r="BO9" s="66"/>
      <c r="BP9" s="66"/>
      <c r="BQ9" s="67"/>
    </row>
    <row r="10" spans="1:69">
      <c r="A10" s="71"/>
      <c r="B10" s="71" t="s">
        <v>160</v>
      </c>
      <c r="C10" s="71"/>
      <c r="D10" s="71"/>
      <c r="E10" s="210">
        <v>0.8</v>
      </c>
      <c r="F10" s="65"/>
      <c r="G10" s="66"/>
      <c r="H10" s="66"/>
      <c r="I10" s="67"/>
      <c r="J10" s="65"/>
      <c r="K10" s="66"/>
      <c r="L10" s="66"/>
      <c r="M10" s="67"/>
      <c r="N10" s="66"/>
      <c r="O10" s="65"/>
      <c r="P10" s="65"/>
      <c r="Q10" s="65"/>
      <c r="R10" s="108"/>
      <c r="S10" s="106"/>
      <c r="T10" s="214"/>
      <c r="U10" s="214"/>
      <c r="V10" s="67"/>
      <c r="W10" s="65"/>
      <c r="X10" s="66"/>
      <c r="Y10" s="66"/>
      <c r="Z10" s="67"/>
      <c r="AA10" s="65"/>
      <c r="AB10" s="66"/>
      <c r="AC10" s="66"/>
      <c r="AD10" s="66"/>
      <c r="AE10" s="67"/>
      <c r="AF10" s="65"/>
      <c r="AG10" s="66"/>
      <c r="AH10" s="66"/>
      <c r="AI10" s="67"/>
      <c r="AJ10" s="65"/>
      <c r="AK10" s="66"/>
      <c r="AL10" s="66"/>
      <c r="AM10" s="66"/>
      <c r="AN10" s="67"/>
      <c r="AO10" s="65"/>
      <c r="AP10" s="66"/>
      <c r="AQ10" s="66"/>
      <c r="AR10" s="67"/>
      <c r="AS10" s="65"/>
      <c r="AT10" s="66"/>
      <c r="AU10" s="66"/>
      <c r="AV10" s="67"/>
      <c r="AW10" s="65"/>
      <c r="AX10" s="66"/>
      <c r="AY10" s="66"/>
      <c r="AZ10" s="66"/>
      <c r="BA10" s="67"/>
      <c r="BB10" s="65"/>
      <c r="BC10" s="66"/>
      <c r="BD10" s="66"/>
      <c r="BE10" s="67"/>
      <c r="BF10" s="65"/>
      <c r="BG10" s="66"/>
      <c r="BH10" s="66"/>
      <c r="BI10" s="67"/>
      <c r="BJ10" s="65"/>
      <c r="BK10" s="66"/>
      <c r="BL10" s="66"/>
      <c r="BM10" s="67"/>
      <c r="BN10" s="65"/>
      <c r="BO10" s="66"/>
      <c r="BP10" s="66"/>
      <c r="BQ10" s="67"/>
    </row>
    <row r="11" spans="1:69">
      <c r="A11" s="102" t="s">
        <v>165</v>
      </c>
      <c r="B11" s="94"/>
      <c r="C11" s="105" t="s">
        <v>166</v>
      </c>
      <c r="D11" s="105" t="s">
        <v>167</v>
      </c>
      <c r="E11" s="209"/>
      <c r="F11" s="65"/>
      <c r="G11" s="66"/>
      <c r="H11" s="66"/>
      <c r="I11" s="67"/>
      <c r="J11" s="65"/>
      <c r="K11" s="66"/>
      <c r="L11" s="66"/>
      <c r="M11" s="67"/>
      <c r="N11" s="73"/>
      <c r="O11" s="73"/>
      <c r="P11" s="72"/>
      <c r="Q11" s="72"/>
      <c r="R11" s="74"/>
      <c r="S11" s="72"/>
      <c r="T11" s="73"/>
      <c r="U11" s="73"/>
      <c r="V11" s="74"/>
      <c r="W11" s="72"/>
      <c r="X11" s="73"/>
      <c r="Y11" s="73"/>
      <c r="Z11" s="74"/>
      <c r="AA11" s="72"/>
      <c r="AB11" s="73"/>
      <c r="AC11" s="73"/>
      <c r="AD11" s="73"/>
      <c r="AE11" s="74"/>
      <c r="AF11" s="72"/>
      <c r="AG11" s="73"/>
      <c r="AH11" s="73"/>
      <c r="AI11" s="74"/>
      <c r="AJ11" s="72"/>
      <c r="AK11" s="73"/>
      <c r="AL11" s="73"/>
      <c r="AM11" s="73"/>
      <c r="AN11" s="74"/>
      <c r="AO11" s="72"/>
      <c r="AP11" s="73"/>
      <c r="AQ11" s="73"/>
      <c r="AR11" s="74"/>
      <c r="AS11" s="72"/>
      <c r="AT11" s="73"/>
      <c r="AU11" s="73"/>
      <c r="AV11" s="74"/>
      <c r="AW11" s="72"/>
      <c r="AX11" s="73"/>
      <c r="AY11" s="73"/>
      <c r="AZ11" s="73"/>
      <c r="BA11" s="74"/>
      <c r="BB11" s="72"/>
      <c r="BC11" s="73"/>
      <c r="BD11" s="73"/>
      <c r="BE11" s="75"/>
      <c r="BF11" s="65"/>
      <c r="BG11" s="66"/>
      <c r="BH11" s="66"/>
      <c r="BI11" s="87"/>
      <c r="BJ11" s="65"/>
      <c r="BK11" s="66"/>
      <c r="BL11" s="66"/>
      <c r="BM11" s="87"/>
      <c r="BN11" s="65"/>
      <c r="BO11" s="66"/>
      <c r="BP11" s="66"/>
      <c r="BQ11" s="87"/>
    </row>
    <row r="12" spans="1:69">
      <c r="A12" s="71"/>
      <c r="B12" s="71" t="s">
        <v>164</v>
      </c>
      <c r="C12" s="71"/>
      <c r="D12" s="71"/>
      <c r="E12" s="210">
        <v>0.45</v>
      </c>
      <c r="F12" s="65"/>
      <c r="G12" s="66"/>
      <c r="H12" s="66"/>
      <c r="I12" s="67"/>
      <c r="J12" s="65"/>
      <c r="K12" s="66"/>
      <c r="L12" s="66"/>
      <c r="M12" s="67"/>
      <c r="N12" s="106"/>
      <c r="O12" s="106"/>
      <c r="P12" s="106"/>
      <c r="Q12" s="106"/>
      <c r="R12" s="108"/>
      <c r="S12" s="106"/>
      <c r="T12" s="107"/>
      <c r="U12" s="107"/>
      <c r="V12" s="108"/>
      <c r="W12" s="106"/>
      <c r="X12" s="107"/>
      <c r="Y12" s="107"/>
      <c r="Z12" s="108"/>
      <c r="AA12" s="65"/>
      <c r="AB12" s="66"/>
      <c r="AC12" s="66"/>
      <c r="AD12" s="66"/>
      <c r="AE12" s="67"/>
      <c r="AF12" s="65"/>
      <c r="AG12" s="66"/>
      <c r="AH12" s="66"/>
      <c r="AI12" s="67"/>
      <c r="AJ12" s="65"/>
      <c r="AK12" s="66"/>
      <c r="AL12" s="66"/>
      <c r="AM12" s="66"/>
      <c r="AN12" s="67"/>
      <c r="AO12" s="65"/>
      <c r="AP12" s="66"/>
      <c r="AQ12" s="66"/>
      <c r="AR12" s="67"/>
      <c r="AS12" s="65"/>
      <c r="AT12" s="66"/>
      <c r="AU12" s="66"/>
      <c r="AV12" s="67"/>
      <c r="AW12" s="65"/>
      <c r="AX12" s="66"/>
      <c r="AY12" s="66"/>
      <c r="AZ12" s="66"/>
      <c r="BA12" s="67"/>
      <c r="BB12" s="65"/>
      <c r="BC12" s="66"/>
      <c r="BD12" s="66"/>
      <c r="BE12" s="87"/>
      <c r="BF12" s="65"/>
      <c r="BG12" s="66"/>
      <c r="BH12" s="66"/>
      <c r="BI12" s="87"/>
      <c r="BJ12" s="65"/>
      <c r="BK12" s="66"/>
      <c r="BL12" s="66"/>
      <c r="BM12" s="87"/>
      <c r="BN12" s="65"/>
      <c r="BO12" s="66"/>
      <c r="BP12" s="66"/>
      <c r="BQ12" s="87"/>
    </row>
    <row r="13" spans="1:69">
      <c r="A13" s="103"/>
      <c r="B13" s="69" t="s">
        <v>281</v>
      </c>
      <c r="C13" s="69"/>
      <c r="D13" s="69"/>
      <c r="E13" s="210">
        <v>0.45</v>
      </c>
      <c r="F13" s="65"/>
      <c r="G13" s="66"/>
      <c r="H13" s="66"/>
      <c r="I13" s="67"/>
      <c r="J13" s="65"/>
      <c r="K13" s="66"/>
      <c r="L13" s="66"/>
      <c r="M13" s="67"/>
      <c r="N13" s="106"/>
      <c r="O13" s="106"/>
      <c r="P13" s="106"/>
      <c r="Q13" s="106"/>
      <c r="R13" s="108"/>
      <c r="S13" s="106"/>
      <c r="T13" s="107"/>
      <c r="U13" s="107"/>
      <c r="V13" s="108"/>
      <c r="W13" s="106"/>
      <c r="X13" s="107"/>
      <c r="Y13" s="107"/>
      <c r="Z13" s="108"/>
      <c r="AA13" s="65"/>
      <c r="AB13" s="66"/>
      <c r="AC13" s="66"/>
      <c r="AD13" s="66"/>
      <c r="AE13" s="67"/>
      <c r="AF13" s="65"/>
      <c r="AG13" s="66"/>
      <c r="AH13" s="66"/>
      <c r="AI13" s="67"/>
      <c r="AJ13" s="65"/>
      <c r="AK13" s="66"/>
      <c r="AL13" s="66"/>
      <c r="AM13" s="66"/>
      <c r="AN13" s="67"/>
      <c r="AO13" s="65"/>
      <c r="AP13" s="66"/>
      <c r="AQ13" s="66"/>
      <c r="AR13" s="67"/>
      <c r="AS13" s="65"/>
      <c r="AT13" s="66"/>
      <c r="AU13" s="66"/>
      <c r="AV13" s="67"/>
      <c r="AW13" s="65"/>
      <c r="AX13" s="66"/>
      <c r="AY13" s="66"/>
      <c r="AZ13" s="66"/>
      <c r="BA13" s="67"/>
      <c r="BB13" s="65"/>
      <c r="BC13" s="66"/>
      <c r="BD13" s="66"/>
      <c r="BE13" s="87"/>
      <c r="BF13" s="65"/>
      <c r="BG13" s="66"/>
      <c r="BH13" s="66"/>
      <c r="BI13" s="87"/>
      <c r="BJ13" s="65"/>
      <c r="BK13" s="66"/>
      <c r="BL13" s="66"/>
      <c r="BM13" s="87"/>
      <c r="BN13" s="65"/>
      <c r="BO13" s="66"/>
      <c r="BP13" s="66"/>
      <c r="BQ13" s="87"/>
    </row>
    <row r="14" spans="1:69">
      <c r="A14" s="71"/>
      <c r="B14" s="71" t="s">
        <v>169</v>
      </c>
      <c r="C14" s="71"/>
      <c r="D14" s="71"/>
      <c r="E14" s="210">
        <v>0</v>
      </c>
      <c r="F14" s="65"/>
      <c r="G14" s="66"/>
      <c r="H14" s="66"/>
      <c r="I14" s="67"/>
      <c r="J14" s="65"/>
      <c r="K14" s="66"/>
      <c r="L14" s="66"/>
      <c r="M14" s="67"/>
      <c r="N14" s="106"/>
      <c r="O14" s="106"/>
      <c r="P14" s="106"/>
      <c r="Q14" s="106"/>
      <c r="R14" s="108"/>
      <c r="S14" s="106"/>
      <c r="T14" s="107"/>
      <c r="U14" s="107"/>
      <c r="V14" s="108"/>
      <c r="W14" s="106"/>
      <c r="X14" s="107"/>
      <c r="Y14" s="107"/>
      <c r="Z14" s="108"/>
      <c r="AA14" s="65"/>
      <c r="AB14" s="66"/>
      <c r="AC14" s="66"/>
      <c r="AD14" s="66"/>
      <c r="AE14" s="67"/>
      <c r="AF14" s="65"/>
      <c r="AG14" s="66"/>
      <c r="AH14" s="66"/>
      <c r="AI14" s="67"/>
      <c r="AJ14" s="65"/>
      <c r="AK14" s="66"/>
      <c r="AL14" s="66"/>
      <c r="AM14" s="66"/>
      <c r="AN14" s="67"/>
      <c r="AO14" s="65"/>
      <c r="AP14" s="66"/>
      <c r="AQ14" s="66"/>
      <c r="AR14" s="67"/>
      <c r="AS14" s="65"/>
      <c r="AT14" s="66"/>
      <c r="AU14" s="66"/>
      <c r="AV14" s="67"/>
      <c r="AW14" s="65"/>
      <c r="AX14" s="66"/>
      <c r="AY14" s="66"/>
      <c r="AZ14" s="66"/>
      <c r="BA14" s="67"/>
      <c r="BB14" s="65"/>
      <c r="BC14" s="66"/>
      <c r="BD14" s="66"/>
      <c r="BE14" s="87"/>
      <c r="BF14" s="65"/>
      <c r="BG14" s="66"/>
      <c r="BH14" s="66"/>
      <c r="BI14" s="87"/>
      <c r="BJ14" s="65"/>
      <c r="BK14" s="66"/>
      <c r="BL14" s="66"/>
      <c r="BM14" s="87"/>
      <c r="BN14" s="65"/>
      <c r="BO14" s="66"/>
      <c r="BP14" s="66"/>
      <c r="BQ14" s="87"/>
    </row>
    <row r="15" spans="1:69">
      <c r="A15" s="69"/>
      <c r="B15" s="152" t="s">
        <v>214</v>
      </c>
      <c r="C15" s="69"/>
      <c r="D15" s="69"/>
      <c r="E15" s="210">
        <v>0</v>
      </c>
      <c r="F15" s="65"/>
      <c r="G15" s="66"/>
      <c r="H15" s="66"/>
      <c r="I15" s="67"/>
      <c r="J15" s="65"/>
      <c r="K15" s="66"/>
      <c r="L15" s="66"/>
      <c r="M15" s="67"/>
      <c r="N15" s="65"/>
      <c r="O15" s="65"/>
      <c r="P15" s="65"/>
      <c r="Q15" s="65"/>
      <c r="R15" s="67"/>
      <c r="S15" s="65"/>
      <c r="T15" s="66"/>
      <c r="U15" s="66"/>
      <c r="V15" s="67"/>
      <c r="W15" s="65"/>
      <c r="X15" s="66"/>
      <c r="Y15" s="66"/>
      <c r="Z15" s="67"/>
      <c r="AA15" s="106"/>
      <c r="AB15" s="107"/>
      <c r="AC15" s="107"/>
      <c r="AD15" s="107"/>
      <c r="AE15" s="151" t="s">
        <v>171</v>
      </c>
      <c r="AF15" s="147"/>
      <c r="AG15" s="148"/>
      <c r="AH15" s="148"/>
      <c r="AI15" s="149"/>
      <c r="AJ15" s="65"/>
      <c r="AK15" s="66"/>
      <c r="AL15" s="66"/>
      <c r="AM15" s="66"/>
      <c r="AN15" s="67"/>
      <c r="AO15" s="65"/>
      <c r="AP15" s="66"/>
      <c r="AQ15" s="66"/>
      <c r="AR15" s="67"/>
      <c r="AS15" s="65"/>
      <c r="AT15" s="66"/>
      <c r="AU15" s="66"/>
      <c r="AV15" s="67"/>
      <c r="AW15" s="65"/>
      <c r="AX15" s="66"/>
      <c r="AY15" s="66"/>
      <c r="AZ15" s="66"/>
      <c r="BA15" s="67"/>
      <c r="BB15" s="65"/>
      <c r="BC15" s="66"/>
      <c r="BD15" s="66"/>
      <c r="BE15" s="87"/>
      <c r="BF15" s="65"/>
      <c r="BG15" s="66"/>
      <c r="BH15" s="66"/>
      <c r="BI15" s="87"/>
      <c r="BJ15" s="65"/>
      <c r="BK15" s="66"/>
      <c r="BL15" s="66"/>
      <c r="BM15" s="87"/>
      <c r="BN15" s="65"/>
      <c r="BO15" s="66"/>
      <c r="BP15" s="66"/>
      <c r="BQ15" s="87"/>
    </row>
    <row r="16" spans="1:69">
      <c r="A16" s="71"/>
      <c r="B16" s="71" t="s">
        <v>172</v>
      </c>
      <c r="C16" s="71"/>
      <c r="D16" s="71"/>
      <c r="E16" s="210">
        <v>0</v>
      </c>
      <c r="F16" s="65"/>
      <c r="G16" s="66"/>
      <c r="H16" s="66"/>
      <c r="I16" s="67"/>
      <c r="J16" s="65"/>
      <c r="K16" s="66"/>
      <c r="L16" s="66"/>
      <c r="M16" s="67"/>
      <c r="N16" s="65"/>
      <c r="O16" s="65"/>
      <c r="P16" s="65"/>
      <c r="Q16" s="65"/>
      <c r="R16" s="67"/>
      <c r="S16" s="65"/>
      <c r="T16" s="66"/>
      <c r="U16" s="66"/>
      <c r="V16" s="67"/>
      <c r="W16" s="65"/>
      <c r="X16" s="66"/>
      <c r="Y16" s="66"/>
      <c r="Z16" s="67"/>
      <c r="AA16" s="65"/>
      <c r="AB16" s="66"/>
      <c r="AC16" s="66"/>
      <c r="AD16" s="66"/>
      <c r="AE16" s="67"/>
      <c r="AF16" s="106"/>
      <c r="AG16" s="107"/>
      <c r="AH16" s="107"/>
      <c r="AI16" s="121"/>
      <c r="AJ16" s="65"/>
      <c r="AK16" s="66"/>
      <c r="AL16" s="66"/>
      <c r="AM16" s="66"/>
      <c r="AN16" s="67"/>
      <c r="AO16" s="65"/>
      <c r="AP16" s="66"/>
      <c r="AQ16" s="66"/>
      <c r="AR16" s="67"/>
      <c r="AS16" s="65"/>
      <c r="AT16" s="66"/>
      <c r="AU16" s="66"/>
      <c r="AV16" s="67"/>
      <c r="AW16" s="65"/>
      <c r="AX16" s="66"/>
      <c r="AY16" s="66"/>
      <c r="AZ16" s="66"/>
      <c r="BA16" s="67"/>
      <c r="BB16" s="65"/>
      <c r="BC16" s="66"/>
      <c r="BD16" s="66"/>
      <c r="BE16" s="87"/>
      <c r="BF16" s="65"/>
      <c r="BG16" s="66"/>
      <c r="BH16" s="66"/>
      <c r="BI16" s="87"/>
      <c r="BJ16" s="65"/>
      <c r="BK16" s="66"/>
      <c r="BL16" s="66"/>
      <c r="BM16" s="87"/>
      <c r="BN16" s="65"/>
      <c r="BO16" s="66"/>
      <c r="BP16" s="66"/>
      <c r="BQ16" s="87"/>
    </row>
    <row r="17" spans="1:69">
      <c r="A17" s="71"/>
      <c r="B17" s="71" t="s">
        <v>215</v>
      </c>
      <c r="C17" s="71"/>
      <c r="D17" s="71"/>
      <c r="E17" s="210">
        <v>0</v>
      </c>
      <c r="F17" s="65"/>
      <c r="G17" s="66"/>
      <c r="H17" s="66"/>
      <c r="I17" s="67"/>
      <c r="J17" s="65"/>
      <c r="K17" s="66"/>
      <c r="L17" s="66"/>
      <c r="M17" s="67"/>
      <c r="N17" s="65"/>
      <c r="O17" s="65"/>
      <c r="P17" s="65"/>
      <c r="Q17" s="65"/>
      <c r="R17" s="67"/>
      <c r="S17" s="65"/>
      <c r="T17" s="66"/>
      <c r="U17" s="66"/>
      <c r="V17" s="67"/>
      <c r="W17" s="65"/>
      <c r="X17" s="66"/>
      <c r="Y17" s="66"/>
      <c r="Z17" s="67"/>
      <c r="AA17" s="65"/>
      <c r="AB17" s="66"/>
      <c r="AC17" s="66"/>
      <c r="AD17" s="66"/>
      <c r="AE17" s="67"/>
      <c r="AF17" s="65"/>
      <c r="AG17" s="66"/>
      <c r="AH17" s="66"/>
      <c r="AI17" s="113"/>
      <c r="AJ17" s="106"/>
      <c r="AK17" s="107"/>
      <c r="AL17" s="107"/>
      <c r="AM17" s="107"/>
      <c r="AN17" s="108"/>
      <c r="AO17" s="106"/>
      <c r="AP17" s="107"/>
      <c r="AQ17" s="107"/>
      <c r="AR17" s="108"/>
      <c r="AS17" s="65"/>
      <c r="AT17" s="66"/>
      <c r="AU17" s="66"/>
      <c r="AV17" s="67"/>
      <c r="AW17" s="65"/>
      <c r="AX17" s="66"/>
      <c r="AY17" s="66"/>
      <c r="AZ17" s="66"/>
      <c r="BA17" s="67"/>
      <c r="BB17" s="65"/>
      <c r="BC17" s="66"/>
      <c r="BD17" s="66"/>
      <c r="BE17" s="87"/>
      <c r="BF17" s="65"/>
      <c r="BG17" s="66"/>
      <c r="BH17" s="66"/>
      <c r="BI17" s="87"/>
      <c r="BJ17" s="65"/>
      <c r="BK17" s="66"/>
      <c r="BL17" s="66"/>
      <c r="BM17" s="87"/>
      <c r="BN17" s="65"/>
      <c r="BO17" s="66"/>
      <c r="BP17" s="66"/>
      <c r="BQ17" s="87"/>
    </row>
    <row r="18" spans="1:69">
      <c r="A18" s="69"/>
      <c r="B18" s="152" t="s">
        <v>216</v>
      </c>
      <c r="C18" s="69"/>
      <c r="D18" s="69"/>
      <c r="E18" s="210">
        <v>0</v>
      </c>
      <c r="F18" s="65"/>
      <c r="G18" s="66"/>
      <c r="H18" s="66"/>
      <c r="I18" s="67"/>
      <c r="J18" s="65"/>
      <c r="K18" s="66"/>
      <c r="L18" s="66"/>
      <c r="M18" s="67"/>
      <c r="N18" s="65"/>
      <c r="O18" s="65"/>
      <c r="P18" s="65"/>
      <c r="Q18" s="65"/>
      <c r="R18" s="67"/>
      <c r="S18" s="65"/>
      <c r="T18" s="66"/>
      <c r="U18" s="66"/>
      <c r="V18" s="67"/>
      <c r="W18" s="65"/>
      <c r="X18" s="66"/>
      <c r="Y18" s="66"/>
      <c r="Z18" s="67"/>
      <c r="AA18" s="65"/>
      <c r="AB18" s="66"/>
      <c r="AC18" s="66"/>
      <c r="AD18" s="66"/>
      <c r="AE18" s="67"/>
      <c r="AF18" s="65"/>
      <c r="AG18" s="66"/>
      <c r="AH18" s="66"/>
      <c r="AI18" s="67"/>
      <c r="AJ18" s="65"/>
      <c r="AK18" s="66"/>
      <c r="AL18" s="66"/>
      <c r="AM18" s="66"/>
      <c r="AN18" s="67"/>
      <c r="AO18" s="65"/>
      <c r="AP18" s="66"/>
      <c r="AQ18" s="66"/>
      <c r="AR18" s="67"/>
      <c r="AS18" s="106"/>
      <c r="AT18" s="107"/>
      <c r="AU18" s="107"/>
      <c r="AV18" s="150" t="s">
        <v>171</v>
      </c>
      <c r="AW18" s="65"/>
      <c r="AX18" s="66"/>
      <c r="AY18" s="66"/>
      <c r="AZ18" s="66"/>
      <c r="BA18" s="67"/>
      <c r="BB18" s="65"/>
      <c r="BC18" s="66"/>
      <c r="BD18" s="66"/>
      <c r="BE18" s="122"/>
      <c r="BF18" s="65"/>
      <c r="BG18" s="66"/>
      <c r="BH18" s="66"/>
      <c r="BI18" s="122"/>
      <c r="BJ18" s="65"/>
      <c r="BK18" s="66"/>
      <c r="BL18" s="66"/>
      <c r="BM18" s="122"/>
      <c r="BN18" s="65"/>
      <c r="BO18" s="66"/>
      <c r="BP18" s="66"/>
      <c r="BQ18" s="122"/>
    </row>
    <row r="19" spans="1:69">
      <c r="A19" s="71"/>
      <c r="B19" s="71" t="s">
        <v>174</v>
      </c>
      <c r="C19" s="71"/>
      <c r="D19" s="71"/>
      <c r="E19" s="210">
        <v>0</v>
      </c>
      <c r="F19" s="65"/>
      <c r="G19" s="66"/>
      <c r="H19" s="66"/>
      <c r="I19" s="67"/>
      <c r="J19" s="65"/>
      <c r="K19" s="66"/>
      <c r="L19" s="66"/>
      <c r="M19" s="67"/>
      <c r="N19" s="65"/>
      <c r="O19" s="65"/>
      <c r="P19" s="65"/>
      <c r="Q19" s="65"/>
      <c r="R19" s="67"/>
      <c r="S19" s="65"/>
      <c r="T19" s="66"/>
      <c r="U19" s="66"/>
      <c r="V19" s="67"/>
      <c r="W19" s="65"/>
      <c r="X19" s="66"/>
      <c r="Y19" s="66"/>
      <c r="Z19" s="67"/>
      <c r="AA19" s="65"/>
      <c r="AB19" s="66"/>
      <c r="AC19" s="66"/>
      <c r="AD19" s="66"/>
      <c r="AE19" s="67"/>
      <c r="AF19" s="65"/>
      <c r="AG19" s="66"/>
      <c r="AH19" s="66"/>
      <c r="AI19" s="67"/>
      <c r="AJ19" s="65"/>
      <c r="AK19" s="66"/>
      <c r="AL19" s="66"/>
      <c r="AM19" s="66"/>
      <c r="AN19" s="67"/>
      <c r="AO19" s="65"/>
      <c r="AP19" s="66"/>
      <c r="AQ19" s="66"/>
      <c r="AR19" s="67"/>
      <c r="AS19" s="65"/>
      <c r="AT19" s="66"/>
      <c r="AU19" s="66"/>
      <c r="AV19" s="67"/>
      <c r="AW19" s="106"/>
      <c r="AX19" s="107"/>
      <c r="AY19" s="107"/>
      <c r="AZ19" s="66"/>
      <c r="BA19" s="67"/>
      <c r="BB19" s="65"/>
      <c r="BC19" s="66"/>
      <c r="BD19" s="66"/>
      <c r="BE19" s="122"/>
      <c r="BF19" s="65"/>
      <c r="BG19" s="66"/>
      <c r="BH19" s="66"/>
      <c r="BI19" s="122"/>
      <c r="BJ19" s="65"/>
      <c r="BK19" s="66"/>
      <c r="BL19" s="66"/>
      <c r="BM19" s="122"/>
      <c r="BN19" s="65"/>
      <c r="BO19" s="66"/>
      <c r="BP19" s="66"/>
      <c r="BQ19" s="122"/>
    </row>
    <row r="20" spans="1:69">
      <c r="A20" s="71"/>
      <c r="B20" s="153" t="s">
        <v>217</v>
      </c>
      <c r="C20" s="71"/>
      <c r="D20" s="71"/>
      <c r="E20" s="210">
        <v>0</v>
      </c>
      <c r="F20" s="65"/>
      <c r="G20" s="66"/>
      <c r="H20" s="66"/>
      <c r="I20" s="67"/>
      <c r="J20" s="65"/>
      <c r="K20" s="66"/>
      <c r="L20" s="66"/>
      <c r="M20" s="67"/>
      <c r="N20" s="65"/>
      <c r="O20" s="65"/>
      <c r="P20" s="65"/>
      <c r="Q20" s="65"/>
      <c r="R20" s="67"/>
      <c r="S20" s="65"/>
      <c r="T20" s="66"/>
      <c r="U20" s="66"/>
      <c r="V20" s="67"/>
      <c r="W20" s="65"/>
      <c r="X20" s="66"/>
      <c r="Y20" s="66"/>
      <c r="Z20" s="67"/>
      <c r="AA20" s="65"/>
      <c r="AB20" s="66"/>
      <c r="AC20" s="66"/>
      <c r="AD20" s="66"/>
      <c r="AE20" s="67"/>
      <c r="AF20" s="65"/>
      <c r="AG20" s="66"/>
      <c r="AH20" s="66"/>
      <c r="AI20" s="67"/>
      <c r="AJ20" s="65"/>
      <c r="AK20" s="66"/>
      <c r="AL20" s="66"/>
      <c r="AM20" s="66"/>
      <c r="AN20" s="67"/>
      <c r="AO20" s="65"/>
      <c r="AP20" s="66"/>
      <c r="AQ20" s="66"/>
      <c r="AR20" s="67"/>
      <c r="AS20" s="65"/>
      <c r="AT20" s="66"/>
      <c r="AU20" s="66"/>
      <c r="AV20" s="67"/>
      <c r="AW20" s="65"/>
      <c r="AX20" s="66"/>
      <c r="AY20" s="66"/>
      <c r="AZ20" s="107"/>
      <c r="BA20" s="108"/>
      <c r="BB20" s="106"/>
      <c r="BC20" s="154" t="s">
        <v>171</v>
      </c>
      <c r="BD20" s="66"/>
      <c r="BE20" s="122"/>
      <c r="BF20" s="65"/>
      <c r="BG20" s="159"/>
      <c r="BH20" s="66"/>
      <c r="BI20" s="122"/>
      <c r="BJ20" s="65"/>
      <c r="BK20" s="159"/>
      <c r="BL20" s="66"/>
      <c r="BM20" s="122"/>
      <c r="BN20" s="65"/>
      <c r="BO20" s="159"/>
      <c r="BP20" s="66"/>
      <c r="BQ20" s="122"/>
    </row>
    <row r="21" spans="1:69">
      <c r="A21" s="71"/>
      <c r="B21" s="71" t="s">
        <v>218</v>
      </c>
      <c r="C21" s="71"/>
      <c r="D21" s="71"/>
      <c r="E21" s="210">
        <v>0</v>
      </c>
      <c r="F21" s="65"/>
      <c r="G21" s="66"/>
      <c r="H21" s="66"/>
      <c r="I21" s="67"/>
      <c r="J21" s="65"/>
      <c r="K21" s="66"/>
      <c r="L21" s="66"/>
      <c r="M21" s="67"/>
      <c r="N21" s="65"/>
      <c r="O21" s="65"/>
      <c r="P21" s="65"/>
      <c r="Q21" s="65"/>
      <c r="R21" s="67"/>
      <c r="S21" s="65"/>
      <c r="T21" s="66"/>
      <c r="U21" s="66"/>
      <c r="V21" s="67"/>
      <c r="W21" s="65"/>
      <c r="X21" s="66"/>
      <c r="Y21" s="66"/>
      <c r="Z21" s="67"/>
      <c r="AA21" s="65"/>
      <c r="AB21" s="66"/>
      <c r="AC21" s="66"/>
      <c r="AD21" s="66"/>
      <c r="AE21" s="67"/>
      <c r="AF21" s="65"/>
      <c r="AG21" s="66"/>
      <c r="AH21" s="66"/>
      <c r="AI21" s="67"/>
      <c r="AJ21" s="65"/>
      <c r="AK21" s="66"/>
      <c r="AL21" s="66"/>
      <c r="AM21" s="66"/>
      <c r="AN21" s="67"/>
      <c r="AO21" s="65"/>
      <c r="AP21" s="66"/>
      <c r="AQ21" s="66"/>
      <c r="AR21" s="67"/>
      <c r="AS21" s="65"/>
      <c r="AT21" s="66"/>
      <c r="AU21" s="66"/>
      <c r="AV21" s="67"/>
      <c r="AW21" s="65"/>
      <c r="AX21" s="66"/>
      <c r="AY21" s="66"/>
      <c r="AZ21" s="66"/>
      <c r="BA21" s="67"/>
      <c r="BB21" s="65"/>
      <c r="BC21" s="66"/>
      <c r="BD21" s="107"/>
      <c r="BE21" s="114"/>
      <c r="BF21" s="65"/>
      <c r="BG21" s="66"/>
      <c r="BH21" s="66"/>
      <c r="BI21" s="122"/>
      <c r="BJ21" s="65"/>
      <c r="BK21" s="66"/>
      <c r="BL21" s="66"/>
      <c r="BM21" s="122"/>
      <c r="BN21" s="65"/>
      <c r="BO21" s="66"/>
      <c r="BP21" s="66"/>
      <c r="BQ21" s="122"/>
    </row>
    <row r="22" spans="1:69">
      <c r="A22" s="104" t="s">
        <v>219</v>
      </c>
      <c r="B22" s="157"/>
      <c r="C22" s="104" t="s">
        <v>162</v>
      </c>
      <c r="D22" s="105" t="s">
        <v>177</v>
      </c>
      <c r="E22" s="209"/>
      <c r="F22" s="65"/>
      <c r="G22" s="66"/>
      <c r="H22" s="66"/>
      <c r="I22" s="67"/>
      <c r="J22" s="65"/>
      <c r="K22" s="66"/>
      <c r="L22" s="66"/>
      <c r="M22" s="67"/>
      <c r="N22" s="65"/>
      <c r="O22" s="65"/>
      <c r="P22" s="65"/>
      <c r="Q22" s="65"/>
      <c r="R22" s="67"/>
      <c r="S22" s="65"/>
      <c r="T22" s="66"/>
      <c r="U22" s="66"/>
      <c r="V22" s="67"/>
      <c r="W22" s="65"/>
      <c r="X22" s="66"/>
      <c r="Y22" s="66"/>
      <c r="Z22" s="67"/>
      <c r="AA22" s="72"/>
      <c r="AB22" s="73"/>
      <c r="AC22" s="73"/>
      <c r="AD22" s="73"/>
      <c r="AE22" s="74"/>
      <c r="AF22" s="72"/>
      <c r="AG22" s="73"/>
      <c r="AH22" s="73"/>
      <c r="AI22" s="74"/>
      <c r="AJ22" s="72"/>
      <c r="AK22" s="73"/>
      <c r="AL22" s="66"/>
      <c r="AM22" s="66"/>
      <c r="AN22" s="67"/>
      <c r="AO22" s="65"/>
      <c r="AP22" s="66"/>
      <c r="AQ22" s="66"/>
      <c r="AR22" s="67"/>
      <c r="AS22" s="65"/>
      <c r="AT22" s="66"/>
      <c r="AU22" s="66"/>
      <c r="AV22" s="67"/>
      <c r="AW22" s="65"/>
      <c r="AX22" s="66"/>
      <c r="AY22" s="66"/>
      <c r="AZ22" s="66"/>
      <c r="BA22" s="67"/>
      <c r="BB22" s="65"/>
      <c r="BC22" s="66"/>
      <c r="BD22" s="73"/>
      <c r="BE22" s="75"/>
      <c r="BF22" s="65"/>
      <c r="BG22" s="66"/>
      <c r="BH22" s="66"/>
      <c r="BI22" s="87"/>
      <c r="BJ22" s="65"/>
      <c r="BK22" s="66"/>
      <c r="BL22" s="66"/>
      <c r="BM22" s="87"/>
      <c r="BN22" s="65"/>
      <c r="BO22" s="66"/>
      <c r="BP22" s="66"/>
      <c r="BQ22" s="87"/>
    </row>
    <row r="23" spans="1:69">
      <c r="A23" s="71"/>
      <c r="B23" s="71" t="s">
        <v>221</v>
      </c>
      <c r="C23" s="71"/>
      <c r="D23" s="69"/>
      <c r="E23" s="210">
        <v>0</v>
      </c>
      <c r="F23" s="65"/>
      <c r="G23" s="66"/>
      <c r="H23" s="66"/>
      <c r="I23" s="67"/>
      <c r="J23" s="65"/>
      <c r="K23" s="66"/>
      <c r="L23" s="66"/>
      <c r="M23" s="67"/>
      <c r="N23" s="65"/>
      <c r="O23" s="65"/>
      <c r="P23" s="65"/>
      <c r="Q23" s="65"/>
      <c r="R23" s="67"/>
      <c r="S23" s="65"/>
      <c r="T23" s="66"/>
      <c r="U23" s="66"/>
      <c r="V23" s="67"/>
      <c r="W23" s="65"/>
      <c r="X23" s="66"/>
      <c r="Y23" s="66"/>
      <c r="Z23" s="67"/>
      <c r="AA23" s="106"/>
      <c r="AB23" s="107"/>
      <c r="AC23" s="107"/>
      <c r="AD23" s="107"/>
      <c r="AE23" s="108"/>
      <c r="AF23" s="106"/>
      <c r="AG23" s="107"/>
      <c r="AH23" s="107"/>
      <c r="AI23" s="108"/>
      <c r="AJ23" s="106"/>
      <c r="AK23" s="107"/>
      <c r="AL23" s="66"/>
      <c r="AM23" s="66"/>
      <c r="AN23" s="67"/>
      <c r="AO23" s="65"/>
      <c r="AP23" s="66"/>
      <c r="AQ23" s="66"/>
      <c r="AR23" s="67"/>
      <c r="AS23" s="65"/>
      <c r="AT23" s="66"/>
      <c r="AU23" s="66"/>
      <c r="AV23" s="67"/>
      <c r="AW23" s="65"/>
      <c r="AX23" s="66"/>
      <c r="AY23" s="66"/>
      <c r="AZ23" s="66"/>
      <c r="BA23" s="67"/>
      <c r="BB23" s="65"/>
      <c r="BC23" s="66"/>
      <c r="BD23" s="66"/>
      <c r="BE23" s="87"/>
      <c r="BF23" s="65"/>
      <c r="BG23" s="66"/>
      <c r="BH23" s="66"/>
      <c r="BI23" s="87"/>
      <c r="BJ23" s="65"/>
      <c r="BK23" s="66"/>
      <c r="BL23" s="66"/>
      <c r="BM23" s="87"/>
      <c r="BN23" s="65"/>
      <c r="BO23" s="66"/>
      <c r="BP23" s="66"/>
      <c r="BQ23" s="87"/>
    </row>
    <row r="24" spans="1:69">
      <c r="A24" s="71"/>
      <c r="B24" s="71" t="s">
        <v>181</v>
      </c>
      <c r="C24" s="71"/>
      <c r="D24" s="69"/>
      <c r="E24" s="210">
        <v>0</v>
      </c>
      <c r="F24" s="65"/>
      <c r="G24" s="66"/>
      <c r="H24" s="66"/>
      <c r="I24" s="67"/>
      <c r="J24" s="65"/>
      <c r="K24" s="66"/>
      <c r="L24" s="66"/>
      <c r="M24" s="67"/>
      <c r="N24" s="65"/>
      <c r="O24" s="65"/>
      <c r="P24" s="65"/>
      <c r="Q24" s="65"/>
      <c r="R24" s="67"/>
      <c r="S24" s="65"/>
      <c r="T24" s="66"/>
      <c r="U24" s="66"/>
      <c r="V24" s="67"/>
      <c r="W24" s="65"/>
      <c r="X24" s="66"/>
      <c r="Y24" s="66"/>
      <c r="Z24" s="67"/>
      <c r="AA24" s="65"/>
      <c r="AB24" s="66"/>
      <c r="AC24" s="66"/>
      <c r="AD24" s="66"/>
      <c r="AE24" s="67"/>
      <c r="AF24" s="65"/>
      <c r="AG24" s="66"/>
      <c r="AH24" s="66"/>
      <c r="AI24" s="67"/>
      <c r="AJ24" s="65"/>
      <c r="AK24" s="66"/>
      <c r="AL24" s="66"/>
      <c r="AM24" s="66"/>
      <c r="AN24" s="67"/>
      <c r="AO24" s="65"/>
      <c r="AP24" s="66"/>
      <c r="AQ24" s="66"/>
      <c r="AR24" s="67"/>
      <c r="AS24" s="65"/>
      <c r="AT24" s="66"/>
      <c r="AU24" s="66"/>
      <c r="AV24" s="67"/>
      <c r="AW24" s="65"/>
      <c r="AX24" s="66"/>
      <c r="AY24" s="66"/>
      <c r="AZ24" s="66"/>
      <c r="BA24" s="67"/>
      <c r="BB24" s="65"/>
      <c r="BC24" s="66"/>
      <c r="BD24" s="107"/>
      <c r="BE24" s="151" t="s">
        <v>171</v>
      </c>
      <c r="BF24" s="65"/>
      <c r="BG24" s="66"/>
      <c r="BH24" s="66"/>
      <c r="BI24" s="158"/>
      <c r="BJ24" s="65"/>
      <c r="BK24" s="66"/>
      <c r="BL24" s="66"/>
      <c r="BM24" s="158"/>
      <c r="BN24" s="65"/>
      <c r="BO24" s="66"/>
      <c r="BP24" s="66"/>
      <c r="BQ24" s="158"/>
    </row>
    <row r="25" spans="1:69">
      <c r="A25" s="104" t="s">
        <v>222</v>
      </c>
      <c r="B25" s="157"/>
      <c r="C25" s="104" t="s">
        <v>162</v>
      </c>
      <c r="D25" s="105" t="s">
        <v>223</v>
      </c>
      <c r="E25" s="209"/>
      <c r="F25" s="65"/>
      <c r="G25" s="66"/>
      <c r="H25" s="66"/>
      <c r="I25" s="67"/>
      <c r="J25" s="65"/>
      <c r="K25" s="66"/>
      <c r="L25" s="66"/>
      <c r="M25" s="67"/>
      <c r="N25" s="65"/>
      <c r="O25" s="65"/>
      <c r="P25" s="65"/>
      <c r="Q25" s="65"/>
      <c r="R25" s="67"/>
      <c r="S25" s="65"/>
      <c r="T25" s="66"/>
      <c r="U25" s="66"/>
      <c r="V25" s="67"/>
      <c r="W25" s="65"/>
      <c r="X25" s="66"/>
      <c r="Y25" s="66"/>
      <c r="Z25" s="67"/>
      <c r="AA25" s="65"/>
      <c r="AB25" s="66"/>
      <c r="AC25" s="66"/>
      <c r="AD25" s="66"/>
      <c r="AE25" s="67"/>
      <c r="AF25" s="65"/>
      <c r="AG25" s="66"/>
      <c r="AH25" s="66"/>
      <c r="AI25" s="67"/>
      <c r="AJ25" s="65"/>
      <c r="AK25" s="66"/>
      <c r="AL25" s="66"/>
      <c r="AM25" s="66"/>
      <c r="AN25" s="67"/>
      <c r="AO25" s="65"/>
      <c r="AP25" s="66"/>
      <c r="AQ25" s="66"/>
      <c r="AR25" s="67"/>
      <c r="AS25" s="65"/>
      <c r="AT25" s="66"/>
      <c r="AU25" s="66"/>
      <c r="AV25" s="67"/>
      <c r="AW25" s="65"/>
      <c r="AX25" s="66"/>
      <c r="AY25" s="66"/>
      <c r="AZ25" s="66"/>
      <c r="BA25" s="67"/>
      <c r="BB25" s="65"/>
      <c r="BC25" s="66"/>
      <c r="BD25" s="66"/>
      <c r="BE25" s="87"/>
      <c r="BF25" s="160"/>
      <c r="BG25" s="161"/>
      <c r="BH25" s="161"/>
      <c r="BI25" s="162"/>
      <c r="BJ25" s="160"/>
      <c r="BK25" s="161"/>
      <c r="BL25" s="161"/>
      <c r="BM25" s="162"/>
      <c r="BN25" s="160"/>
      <c r="BO25" s="161"/>
      <c r="BP25" s="161"/>
      <c r="BQ25" s="162"/>
    </row>
    <row r="26" spans="1:69">
      <c r="A26" s="71"/>
      <c r="B26" s="71" t="s">
        <v>224</v>
      </c>
      <c r="C26" s="71"/>
      <c r="D26" s="69"/>
      <c r="E26" s="210">
        <v>0</v>
      </c>
      <c r="F26" s="65"/>
      <c r="G26" s="66"/>
      <c r="H26" s="66"/>
      <c r="I26" s="67"/>
      <c r="J26" s="65"/>
      <c r="K26" s="66"/>
      <c r="L26" s="66"/>
      <c r="M26" s="67"/>
      <c r="N26" s="65"/>
      <c r="O26" s="65"/>
      <c r="P26" s="65"/>
      <c r="Q26" s="65"/>
      <c r="R26" s="67"/>
      <c r="S26" s="65"/>
      <c r="T26" s="66"/>
      <c r="U26" s="66"/>
      <c r="V26" s="67"/>
      <c r="W26" s="65"/>
      <c r="X26" s="66"/>
      <c r="Y26" s="66"/>
      <c r="Z26" s="67"/>
      <c r="AA26" s="65"/>
      <c r="AB26" s="66"/>
      <c r="AC26" s="66"/>
      <c r="AD26" s="66"/>
      <c r="AE26" s="67"/>
      <c r="AF26" s="65"/>
      <c r="AG26" s="66"/>
      <c r="AH26" s="66"/>
      <c r="AI26" s="67"/>
      <c r="AJ26" s="65"/>
      <c r="AK26" s="66"/>
      <c r="AL26" s="66"/>
      <c r="AM26" s="66"/>
      <c r="AN26" s="67"/>
      <c r="AO26" s="65"/>
      <c r="AP26" s="66"/>
      <c r="AQ26" s="66"/>
      <c r="AR26" s="67"/>
      <c r="AS26" s="65"/>
      <c r="AT26" s="66"/>
      <c r="AU26" s="66"/>
      <c r="AV26" s="67"/>
      <c r="AW26" s="65"/>
      <c r="AX26" s="66"/>
      <c r="AY26" s="66"/>
      <c r="AZ26" s="66"/>
      <c r="BA26" s="67"/>
      <c r="BB26" s="65"/>
      <c r="BC26" s="66"/>
      <c r="BD26" s="66"/>
      <c r="BE26" s="87"/>
      <c r="BF26" s="163"/>
      <c r="BG26" s="164"/>
      <c r="BH26" s="164"/>
      <c r="BI26" s="165"/>
      <c r="BJ26" s="163"/>
      <c r="BK26" s="164"/>
      <c r="BL26" s="164"/>
      <c r="BM26" s="165"/>
      <c r="BN26" s="163"/>
      <c r="BO26" s="164"/>
      <c r="BP26" s="164"/>
      <c r="BQ26" s="165"/>
    </row>
    <row r="27" spans="1:69">
      <c r="A27" s="86"/>
      <c r="B27" s="86"/>
      <c r="C27" s="86"/>
      <c r="D27" s="86"/>
      <c r="E27" s="86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9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9"/>
    </row>
    <row r="28" spans="1:69">
      <c r="F28" s="111"/>
    </row>
    <row r="29" spans="1:69" ht="21.95">
      <c r="A29" s="133" t="s">
        <v>188</v>
      </c>
    </row>
    <row r="30" spans="1:69" ht="21.95">
      <c r="A30" s="134" t="s">
        <v>194</v>
      </c>
      <c r="E30" s="111"/>
    </row>
    <row r="31" spans="1:69">
      <c r="E31" s="111"/>
    </row>
    <row r="32" spans="1:69" ht="24">
      <c r="A32" s="120" t="s">
        <v>199</v>
      </c>
      <c r="E32" s="111"/>
    </row>
    <row r="33" spans="1:36">
      <c r="A33" s="111"/>
      <c r="E33" s="111"/>
    </row>
    <row r="34" spans="1:36" ht="24">
      <c r="J34" s="181" t="s">
        <v>282</v>
      </c>
      <c r="K34" s="182"/>
      <c r="L34" s="182"/>
      <c r="M34" s="182"/>
      <c r="N34" s="182"/>
      <c r="AB34" s="181" t="s">
        <v>228</v>
      </c>
    </row>
    <row r="35" spans="1:36">
      <c r="J35" s="189" t="s">
        <v>230</v>
      </c>
      <c r="K35" s="183" t="s">
        <v>231</v>
      </c>
      <c r="L35" s="184"/>
      <c r="M35" s="184"/>
      <c r="N35" s="184"/>
      <c r="O35" s="184"/>
      <c r="P35" s="184"/>
      <c r="Q35" s="184"/>
      <c r="R35" s="184"/>
      <c r="S35" s="184"/>
      <c r="T35" s="184"/>
      <c r="U35" s="185"/>
      <c r="AB35" s="194" t="s">
        <v>232</v>
      </c>
      <c r="AC35" s="194" t="s">
        <v>233</v>
      </c>
      <c r="AD35" s="195"/>
      <c r="AE35" s="195"/>
      <c r="AF35" s="195"/>
      <c r="AG35" s="195"/>
      <c r="AH35" s="294" t="s">
        <v>234</v>
      </c>
      <c r="AI35" s="295"/>
      <c r="AJ35" s="296"/>
    </row>
    <row r="36" spans="1:36">
      <c r="J36" s="189" t="s">
        <v>235</v>
      </c>
      <c r="K36" s="189" t="s">
        <v>236</v>
      </c>
      <c r="L36" s="190"/>
      <c r="M36" s="190"/>
      <c r="N36" s="190"/>
      <c r="O36" s="190"/>
      <c r="P36" s="190"/>
      <c r="Q36" s="190"/>
      <c r="R36" s="190"/>
      <c r="S36" s="190"/>
      <c r="T36" s="190"/>
      <c r="U36" s="191"/>
      <c r="AB36" s="192" t="s">
        <v>237</v>
      </c>
      <c r="AC36" s="183" t="s">
        <v>238</v>
      </c>
      <c r="AD36" s="184"/>
      <c r="AE36" s="184"/>
      <c r="AH36" s="297" t="s">
        <v>238</v>
      </c>
      <c r="AI36" s="298"/>
      <c r="AJ36" s="299"/>
    </row>
    <row r="37" spans="1:36">
      <c r="J37" s="208" t="s">
        <v>239</v>
      </c>
      <c r="K37" s="208"/>
      <c r="L37" s="208"/>
      <c r="M37" s="208"/>
      <c r="AB37" s="186" t="s">
        <v>240</v>
      </c>
      <c r="AC37" s="291" t="s">
        <v>241</v>
      </c>
      <c r="AD37" s="292"/>
      <c r="AE37" s="292"/>
      <c r="AF37" s="292"/>
      <c r="AG37" s="293"/>
      <c r="AH37" s="291" t="s">
        <v>241</v>
      </c>
      <c r="AI37" s="292"/>
      <c r="AJ37" s="293"/>
    </row>
    <row r="38" spans="1:36">
      <c r="AB38" s="208"/>
    </row>
    <row r="39" spans="1:36" ht="24">
      <c r="J39" s="181" t="s">
        <v>242</v>
      </c>
    </row>
    <row r="40" spans="1:36">
      <c r="J40" s="194" t="s">
        <v>243</v>
      </c>
      <c r="K40" s="194" t="s">
        <v>244</v>
      </c>
      <c r="L40" s="195"/>
      <c r="M40" s="195"/>
      <c r="N40" s="190"/>
      <c r="O40" s="194" t="s">
        <v>245</v>
      </c>
      <c r="P40" s="190"/>
      <c r="Q40" s="190"/>
      <c r="R40" s="191"/>
    </row>
    <row r="41" spans="1:36">
      <c r="J41" s="192" t="s">
        <v>246</v>
      </c>
      <c r="K41" s="196" t="s">
        <v>247</v>
      </c>
      <c r="L41" s="197"/>
      <c r="M41" s="197"/>
      <c r="N41" s="198"/>
      <c r="O41" s="192" t="s">
        <v>248</v>
      </c>
      <c r="R41" s="193"/>
    </row>
    <row r="42" spans="1:36">
      <c r="J42" s="192" t="s">
        <v>249</v>
      </c>
      <c r="K42" s="199" t="s">
        <v>250</v>
      </c>
      <c r="L42" s="200"/>
      <c r="M42" s="200"/>
      <c r="N42" s="201"/>
      <c r="O42" s="192" t="s">
        <v>251</v>
      </c>
      <c r="R42" s="193"/>
    </row>
    <row r="43" spans="1:36">
      <c r="J43" s="186" t="s">
        <v>252</v>
      </c>
      <c r="K43" s="202" t="s">
        <v>253</v>
      </c>
      <c r="L43" s="203"/>
      <c r="M43" s="203"/>
      <c r="N43" s="204"/>
      <c r="O43" s="186" t="s">
        <v>254</v>
      </c>
      <c r="P43" s="187"/>
      <c r="Q43" s="187"/>
      <c r="R43" s="188"/>
    </row>
    <row r="81" spans="8:21">
      <c r="H81" s="205" t="s">
        <v>263</v>
      </c>
      <c r="I81" s="206"/>
      <c r="J81" s="206"/>
      <c r="K81" s="206"/>
      <c r="L81" s="206"/>
      <c r="M81" s="206"/>
      <c r="N81" s="206"/>
      <c r="O81" s="206"/>
      <c r="P81" s="206"/>
      <c r="Q81" s="206"/>
      <c r="R81" s="206"/>
      <c r="S81" s="206"/>
      <c r="T81" s="206"/>
      <c r="U81" s="206"/>
    </row>
    <row r="82" spans="8:21">
      <c r="H82" s="207" t="s">
        <v>264</v>
      </c>
      <c r="I82" s="206"/>
      <c r="J82" s="206"/>
      <c r="K82" s="206"/>
      <c r="L82" s="206"/>
      <c r="M82" s="206"/>
      <c r="N82" s="206"/>
      <c r="O82" s="206"/>
      <c r="P82" s="206"/>
      <c r="Q82" s="206"/>
      <c r="R82" s="206"/>
      <c r="S82" s="206"/>
      <c r="T82" s="206"/>
      <c r="U82" s="206"/>
    </row>
    <row r="83" spans="8:21">
      <c r="H83" s="206" t="s">
        <v>265</v>
      </c>
      <c r="I83" s="206"/>
      <c r="J83" s="206"/>
      <c r="K83" s="206" t="s">
        <v>266</v>
      </c>
      <c r="L83" s="206"/>
      <c r="M83" s="206"/>
      <c r="N83" s="206"/>
      <c r="O83" s="206"/>
      <c r="P83" s="206"/>
      <c r="Q83" s="206"/>
      <c r="R83" s="206"/>
      <c r="S83" s="206"/>
      <c r="T83" s="206"/>
      <c r="U83" s="206"/>
    </row>
    <row r="84" spans="8:21">
      <c r="H84" s="206" t="s">
        <v>267</v>
      </c>
      <c r="I84" s="206"/>
      <c r="J84" s="206"/>
      <c r="K84" s="206" t="s">
        <v>268</v>
      </c>
      <c r="L84" s="206"/>
      <c r="M84" s="206"/>
      <c r="N84" s="206"/>
      <c r="O84" s="206"/>
      <c r="P84" s="206"/>
      <c r="Q84" s="206"/>
      <c r="R84" s="206"/>
      <c r="S84" s="206"/>
      <c r="T84" s="206"/>
      <c r="U84" s="206"/>
    </row>
    <row r="85" spans="8:21">
      <c r="H85" s="206" t="s">
        <v>254</v>
      </c>
      <c r="I85" s="206"/>
      <c r="J85" s="206"/>
      <c r="K85" s="206" t="s">
        <v>269</v>
      </c>
      <c r="L85" s="206"/>
      <c r="M85" s="206"/>
      <c r="N85" s="206"/>
      <c r="O85" s="206"/>
      <c r="P85" s="206"/>
      <c r="Q85" s="206"/>
      <c r="R85" s="206"/>
      <c r="S85" s="206"/>
      <c r="T85" s="206"/>
      <c r="U85" s="206"/>
    </row>
    <row r="86" spans="8:21">
      <c r="H86" s="206"/>
      <c r="I86" s="206"/>
      <c r="J86" s="206"/>
      <c r="K86" s="206"/>
      <c r="L86" s="206"/>
      <c r="M86" s="206"/>
      <c r="N86" s="206"/>
      <c r="O86" s="206"/>
      <c r="P86" s="206"/>
      <c r="Q86" s="206"/>
      <c r="R86" s="206"/>
      <c r="S86" s="206"/>
      <c r="T86" s="206"/>
      <c r="U86" s="206"/>
    </row>
    <row r="87" spans="8:21">
      <c r="H87" s="206"/>
      <c r="I87" s="206"/>
      <c r="J87" s="206"/>
      <c r="K87" s="206"/>
      <c r="L87" s="206"/>
      <c r="M87" s="206"/>
      <c r="N87" s="206"/>
      <c r="O87" s="206"/>
      <c r="P87" s="206"/>
      <c r="Q87" s="206"/>
      <c r="R87" s="206"/>
      <c r="S87" s="206"/>
      <c r="T87" s="206"/>
      <c r="U87" s="206"/>
    </row>
    <row r="88" spans="8:21">
      <c r="H88" s="206"/>
      <c r="I88" s="206"/>
      <c r="J88" s="206"/>
      <c r="K88" s="206"/>
      <c r="L88" s="206"/>
      <c r="M88" s="206"/>
      <c r="N88" s="206"/>
      <c r="O88" s="206"/>
      <c r="P88" s="206"/>
      <c r="Q88" s="206"/>
      <c r="R88" s="206"/>
      <c r="S88" s="206"/>
      <c r="T88" s="206"/>
      <c r="U88" s="206"/>
    </row>
    <row r="89" spans="8:21">
      <c r="H89" s="206"/>
      <c r="I89" s="206"/>
      <c r="J89" s="206"/>
      <c r="K89" s="206"/>
      <c r="L89" s="206"/>
      <c r="M89" s="206"/>
      <c r="N89" s="206"/>
      <c r="O89" s="206"/>
      <c r="P89" s="206"/>
      <c r="Q89" s="206"/>
      <c r="R89" s="206"/>
      <c r="S89" s="206"/>
      <c r="T89" s="206"/>
      <c r="U89" s="206"/>
    </row>
    <row r="90" spans="8:21">
      <c r="H90" s="206" t="s">
        <v>270</v>
      </c>
      <c r="I90" s="206"/>
      <c r="J90" s="206"/>
      <c r="K90" s="206"/>
      <c r="L90" s="206" t="s">
        <v>271</v>
      </c>
      <c r="M90" s="206"/>
      <c r="N90" s="206"/>
      <c r="O90" s="206"/>
      <c r="P90" s="206"/>
      <c r="Q90" s="206"/>
      <c r="R90" s="206"/>
      <c r="S90" s="206"/>
      <c r="T90" s="206"/>
      <c r="U90" s="206"/>
    </row>
    <row r="91" spans="8:21">
      <c r="H91" s="206"/>
      <c r="I91" s="206">
        <v>1</v>
      </c>
      <c r="J91" s="206" t="s">
        <v>272</v>
      </c>
      <c r="K91" s="206"/>
      <c r="L91" s="206" t="s">
        <v>273</v>
      </c>
      <c r="M91" s="206"/>
      <c r="N91" s="206"/>
      <c r="O91" s="206"/>
      <c r="P91" s="206"/>
      <c r="Q91" s="206"/>
      <c r="R91" s="206"/>
      <c r="S91" s="206"/>
      <c r="T91" s="206"/>
      <c r="U91" s="206"/>
    </row>
    <row r="92" spans="8:21">
      <c r="H92" s="206"/>
      <c r="I92" s="206">
        <v>2</v>
      </c>
      <c r="J92" s="206" t="s">
        <v>274</v>
      </c>
      <c r="K92" s="206"/>
      <c r="L92" s="206"/>
      <c r="M92" s="206"/>
      <c r="N92" s="206"/>
      <c r="O92" s="206"/>
      <c r="P92" s="206"/>
      <c r="Q92" s="206"/>
      <c r="R92" s="206" t="s">
        <v>275</v>
      </c>
      <c r="S92" s="206"/>
      <c r="T92" s="206"/>
      <c r="U92" s="206"/>
    </row>
    <row r="93" spans="8:21">
      <c r="H93" s="206"/>
      <c r="I93" s="206"/>
      <c r="J93" s="206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</row>
    <row r="94" spans="8:21">
      <c r="H94" s="206"/>
      <c r="I94" s="206"/>
      <c r="J94" s="206"/>
      <c r="K94" s="206"/>
      <c r="L94" s="206"/>
      <c r="M94" s="206"/>
      <c r="N94" s="206"/>
      <c r="O94" s="206"/>
      <c r="P94" s="206"/>
      <c r="Q94" s="206"/>
      <c r="R94" s="206"/>
      <c r="S94" s="206"/>
      <c r="T94" s="206"/>
      <c r="U94" s="206"/>
    </row>
    <row r="95" spans="8:21">
      <c r="H95" s="206" t="s">
        <v>276</v>
      </c>
      <c r="I95" s="206"/>
      <c r="J95" s="206"/>
      <c r="K95" s="206"/>
      <c r="L95" s="206"/>
      <c r="M95" s="206"/>
      <c r="N95" s="206"/>
      <c r="O95" s="206"/>
      <c r="P95" s="206"/>
      <c r="Q95" s="206"/>
      <c r="R95" s="206"/>
      <c r="S95" s="206"/>
      <c r="T95" s="206"/>
      <c r="U95" s="206"/>
    </row>
    <row r="96" spans="8:21">
      <c r="H96" s="206"/>
      <c r="I96" s="206"/>
      <c r="J96" s="206" t="s">
        <v>277</v>
      </c>
      <c r="K96" s="206"/>
      <c r="L96" s="206"/>
      <c r="M96" s="206"/>
      <c r="N96" s="206"/>
      <c r="O96" s="206"/>
      <c r="P96" s="206"/>
      <c r="Q96" s="206"/>
      <c r="R96" s="206"/>
      <c r="S96" s="206"/>
      <c r="T96" s="206"/>
      <c r="U96" s="206"/>
    </row>
    <row r="97" spans="8:21">
      <c r="H97" s="206"/>
      <c r="I97" s="206" t="s">
        <v>274</v>
      </c>
      <c r="J97" s="206" t="s">
        <v>278</v>
      </c>
      <c r="K97" s="206"/>
      <c r="L97" s="206"/>
      <c r="M97" s="206"/>
      <c r="N97" s="206"/>
      <c r="O97" s="206"/>
      <c r="P97" s="206"/>
      <c r="Q97" s="206"/>
      <c r="R97" s="206"/>
      <c r="S97" s="206"/>
      <c r="T97" s="206"/>
      <c r="U97" s="206"/>
    </row>
    <row r="98" spans="8:21">
      <c r="H98" s="206"/>
      <c r="I98" s="206"/>
      <c r="J98" s="206" t="s">
        <v>279</v>
      </c>
      <c r="K98" s="206"/>
      <c r="L98" s="206"/>
      <c r="M98" s="206"/>
      <c r="N98" s="206"/>
      <c r="O98" s="206"/>
      <c r="P98" s="206"/>
      <c r="Q98" s="206"/>
      <c r="R98" s="206"/>
      <c r="S98" s="206"/>
      <c r="T98" s="206"/>
      <c r="U98" s="206"/>
    </row>
    <row r="99" spans="8:21">
      <c r="H99" s="206"/>
      <c r="I99" s="206"/>
      <c r="J99" s="206"/>
      <c r="K99" s="206"/>
      <c r="L99" s="206"/>
      <c r="M99" s="206"/>
      <c r="N99" s="206"/>
      <c r="O99" s="206"/>
      <c r="P99" s="206"/>
      <c r="Q99" s="206"/>
      <c r="R99" s="206"/>
      <c r="S99" s="206"/>
      <c r="T99" s="206"/>
      <c r="U99" s="206"/>
    </row>
  </sheetData>
  <mergeCells count="23">
    <mergeCell ref="G1:H1"/>
    <mergeCell ref="G2:H2"/>
    <mergeCell ref="F3:BE3"/>
    <mergeCell ref="BF3:BQ3"/>
    <mergeCell ref="F4:I4"/>
    <mergeCell ref="J4:M4"/>
    <mergeCell ref="N4:R4"/>
    <mergeCell ref="S4:V4"/>
    <mergeCell ref="W4:Z4"/>
    <mergeCell ref="AA4:AE4"/>
    <mergeCell ref="BF4:BI4"/>
    <mergeCell ref="BJ4:BM4"/>
    <mergeCell ref="BN4:BQ4"/>
    <mergeCell ref="AS4:AV4"/>
    <mergeCell ref="AW4:BA4"/>
    <mergeCell ref="BB4:BE4"/>
    <mergeCell ref="AC37:AG37"/>
    <mergeCell ref="AH37:AJ37"/>
    <mergeCell ref="AF4:AI4"/>
    <mergeCell ref="AJ4:AN4"/>
    <mergeCell ref="AO4:AR4"/>
    <mergeCell ref="AH35:AJ35"/>
    <mergeCell ref="AH36:AJ36"/>
  </mergeCells>
  <conditionalFormatting sqref="F5:BQ5">
    <cfRule type="expression" dxfId="29" priority="2">
      <formula>AND(F$5 &lt;= TODAY(), TODAY() &lt; F$5 + 7)</formula>
    </cfRule>
  </conditionalFormatting>
  <conditionalFormatting sqref="I1">
    <cfRule type="expression" dxfId="28" priority="1">
      <formula>AND(I$5 &lt;= TODAY(), TODAY() &lt; I$5 + 7)</formula>
    </cfRule>
  </conditionalFormatting>
  <hyperlinks>
    <hyperlink ref="J2" r:id="rId1" xr:uid="{CE224E5D-02F5-474D-8E77-24701C8DD70B}"/>
  </hyperlinks>
  <pageMargins left="0.7" right="0.7" top="0.75" bottom="0.75" header="0.3" footer="0.3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7613-A1F1-4E42-8A1E-B5586F76FF01}">
  <sheetPr>
    <tabColor rgb="FF00B050"/>
  </sheetPr>
  <dimension ref="A1:BT125"/>
  <sheetViews>
    <sheetView showGridLines="0" zoomScale="114" zoomScaleNormal="55" workbookViewId="0">
      <selection activeCell="B13" sqref="B13:B14"/>
    </sheetView>
  </sheetViews>
  <sheetFormatPr defaultColWidth="8.85546875" defaultRowHeight="15" customHeight="1"/>
  <cols>
    <col min="1" max="1" width="34.42578125" customWidth="1"/>
    <col min="2" max="2" width="47.7109375" customWidth="1"/>
    <col min="3" max="3" width="16.42578125" customWidth="1"/>
    <col min="4" max="4" width="25.28515625" hidden="1" customWidth="1"/>
    <col min="5" max="5" width="15.85546875" customWidth="1"/>
    <col min="6" max="6" width="16" customWidth="1"/>
    <col min="7" max="7" width="15.140625" customWidth="1"/>
    <col min="8" max="8" width="17" bestFit="1" customWidth="1"/>
    <col min="9" max="60" width="5.7109375" customWidth="1"/>
    <col min="61" max="72" width="5" customWidth="1"/>
  </cols>
  <sheetData>
    <row r="1" spans="1:72" ht="18.95">
      <c r="A1" s="109" t="s">
        <v>135</v>
      </c>
      <c r="B1" s="211">
        <f>SUMPRODUCT(Table15[[Duration ]],Table15[% Progress])/SUM(Table15[[Duration ]])</f>
        <v>0.43737864077669902</v>
      </c>
      <c r="C1" s="252" t="s">
        <v>283</v>
      </c>
      <c r="D1" s="218"/>
      <c r="E1" s="218"/>
      <c r="F1" s="118"/>
      <c r="G1" s="118" t="s">
        <v>137</v>
      </c>
      <c r="H1" s="117">
        <v>46083</v>
      </c>
      <c r="I1" s="119" t="s">
        <v>138</v>
      </c>
      <c r="J1" s="281">
        <v>46027</v>
      </c>
      <c r="K1" s="281"/>
      <c r="L1" s="212"/>
      <c r="M1" t="s">
        <v>200</v>
      </c>
      <c r="R1" s="213"/>
      <c r="S1" t="s">
        <v>201</v>
      </c>
      <c r="BH1" s="155" t="s">
        <v>202</v>
      </c>
    </row>
    <row r="2" spans="1:72" ht="18.95">
      <c r="A2" s="109" t="s">
        <v>139</v>
      </c>
      <c r="B2" s="230">
        <f ca="1">(TODAY()-MIN(C7:C24))/(MAX(E7:E24)-MIN(C7:C24))</f>
        <v>0.55799373040752354</v>
      </c>
      <c r="C2" s="218"/>
      <c r="D2" s="218"/>
      <c r="E2" s="218"/>
      <c r="F2" s="118"/>
      <c r="G2" s="118" t="s">
        <v>140</v>
      </c>
      <c r="H2" s="117">
        <v>46383</v>
      </c>
      <c r="I2" s="125"/>
      <c r="J2" s="282"/>
      <c r="K2" s="282"/>
      <c r="L2" s="130" t="s">
        <v>142</v>
      </c>
      <c r="M2" s="129" t="s">
        <v>143</v>
      </c>
      <c r="Q2" s="111"/>
      <c r="AH2" s="155" t="s">
        <v>203</v>
      </c>
      <c r="AY2" s="155" t="s">
        <v>204</v>
      </c>
      <c r="BF2" s="155" t="s">
        <v>205</v>
      </c>
    </row>
    <row r="3" spans="1:72">
      <c r="A3" s="231" t="s">
        <v>206</v>
      </c>
      <c r="I3" s="283" t="s">
        <v>144</v>
      </c>
      <c r="J3" s="284"/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4"/>
      <c r="AP3" s="284"/>
      <c r="AQ3" s="284"/>
      <c r="AR3" s="284"/>
      <c r="AS3" s="284"/>
      <c r="AT3" s="284"/>
      <c r="AU3" s="284"/>
      <c r="AV3" s="284"/>
      <c r="AW3" s="284"/>
      <c r="AX3" s="284"/>
      <c r="AY3" s="284"/>
      <c r="AZ3" s="284"/>
      <c r="BA3" s="284"/>
      <c r="BB3" s="284"/>
      <c r="BC3" s="284"/>
      <c r="BD3" s="284"/>
      <c r="BE3" s="284"/>
      <c r="BF3" s="284"/>
      <c r="BG3" s="284"/>
      <c r="BH3" s="285"/>
      <c r="BI3" s="279" t="s">
        <v>207</v>
      </c>
      <c r="BJ3" s="280"/>
      <c r="BK3" s="280"/>
      <c r="BL3" s="280"/>
      <c r="BM3" s="280"/>
      <c r="BN3" s="280"/>
      <c r="BO3" s="280"/>
      <c r="BP3" s="280"/>
      <c r="BQ3" s="280"/>
      <c r="BR3" s="280"/>
      <c r="BS3" s="280"/>
      <c r="BT3" s="280"/>
    </row>
    <row r="4" spans="1:72">
      <c r="I4" s="286">
        <v>46037</v>
      </c>
      <c r="J4" s="287"/>
      <c r="K4" s="287"/>
      <c r="L4" s="288"/>
      <c r="M4" s="287">
        <f>P5</f>
        <v>46076</v>
      </c>
      <c r="N4" s="287"/>
      <c r="O4" s="287"/>
      <c r="P4" s="289"/>
      <c r="Q4" s="290">
        <f>U5</f>
        <v>46111</v>
      </c>
      <c r="R4" s="287"/>
      <c r="S4" s="287"/>
      <c r="T4" s="287"/>
      <c r="U4" s="289"/>
      <c r="V4" s="290">
        <f>Y5</f>
        <v>46139</v>
      </c>
      <c r="W4" s="287"/>
      <c r="X4" s="287"/>
      <c r="Y4" s="289"/>
      <c r="Z4" s="290">
        <f>AC5</f>
        <v>46167</v>
      </c>
      <c r="AA4" s="287"/>
      <c r="AB4" s="287"/>
      <c r="AC4" s="289"/>
      <c r="AD4" s="290">
        <f>AH5</f>
        <v>46202</v>
      </c>
      <c r="AE4" s="287"/>
      <c r="AF4" s="287"/>
      <c r="AG4" s="287"/>
      <c r="AH4" s="289"/>
      <c r="AI4" s="290">
        <f>AL5</f>
        <v>46230</v>
      </c>
      <c r="AJ4" s="287"/>
      <c r="AK4" s="287"/>
      <c r="AL4" s="289"/>
      <c r="AM4" s="290">
        <f>AQ5</f>
        <v>46265</v>
      </c>
      <c r="AN4" s="287"/>
      <c r="AO4" s="287"/>
      <c r="AP4" s="287"/>
      <c r="AQ4" s="289"/>
      <c r="AR4" s="290">
        <f>AU5</f>
        <v>46293</v>
      </c>
      <c r="AS4" s="287"/>
      <c r="AT4" s="287"/>
      <c r="AU4" s="289"/>
      <c r="AV4" s="290">
        <f>AY5</f>
        <v>46321</v>
      </c>
      <c r="AW4" s="287"/>
      <c r="AX4" s="287"/>
      <c r="AY4" s="289"/>
      <c r="AZ4" s="290">
        <f>BD5</f>
        <v>46356</v>
      </c>
      <c r="BA4" s="287"/>
      <c r="BB4" s="287"/>
      <c r="BC4" s="287"/>
      <c r="BD4" s="289"/>
      <c r="BE4" s="290">
        <f>BH5</f>
        <v>46384</v>
      </c>
      <c r="BF4" s="287"/>
      <c r="BG4" s="287"/>
      <c r="BH4" s="289"/>
      <c r="BI4" s="290">
        <f>BL5</f>
        <v>46412</v>
      </c>
      <c r="BJ4" s="287"/>
      <c r="BK4" s="287"/>
      <c r="BL4" s="289"/>
      <c r="BM4" s="290">
        <f>BP5</f>
        <v>46440</v>
      </c>
      <c r="BN4" s="287"/>
      <c r="BO4" s="287"/>
      <c r="BP4" s="289"/>
      <c r="BQ4" s="290">
        <f>BT5</f>
        <v>46468</v>
      </c>
      <c r="BR4" s="287"/>
      <c r="BS4" s="287"/>
      <c r="BT4" s="289"/>
    </row>
    <row r="5" spans="1:72" ht="18.95">
      <c r="A5" s="156" t="s">
        <v>280</v>
      </c>
      <c r="B5" s="85"/>
      <c r="C5" s="85"/>
      <c r="D5" s="85"/>
      <c r="E5" s="85">
        <v>4</v>
      </c>
      <c r="I5" s="58">
        <f>J1</f>
        <v>46027</v>
      </c>
      <c r="J5" s="59">
        <f>I5+7</f>
        <v>46034</v>
      </c>
      <c r="K5" s="59">
        <f t="shared" ref="K5:U5" si="0">J5+7</f>
        <v>46041</v>
      </c>
      <c r="L5" s="60">
        <f t="shared" si="0"/>
        <v>46048</v>
      </c>
      <c r="M5" s="61">
        <f t="shared" si="0"/>
        <v>46055</v>
      </c>
      <c r="N5" s="59">
        <f t="shared" si="0"/>
        <v>46062</v>
      </c>
      <c r="O5" s="59">
        <f t="shared" si="0"/>
        <v>46069</v>
      </c>
      <c r="P5" s="62">
        <f t="shared" si="0"/>
        <v>46076</v>
      </c>
      <c r="Q5" s="61">
        <f>P5+7</f>
        <v>46083</v>
      </c>
      <c r="R5" s="59">
        <f t="shared" si="0"/>
        <v>46090</v>
      </c>
      <c r="S5" s="59">
        <f t="shared" si="0"/>
        <v>46097</v>
      </c>
      <c r="T5" s="59">
        <f t="shared" si="0"/>
        <v>46104</v>
      </c>
      <c r="U5" s="62">
        <f t="shared" si="0"/>
        <v>46111</v>
      </c>
      <c r="V5" s="61">
        <f>U5+7</f>
        <v>46118</v>
      </c>
      <c r="W5" s="59">
        <f t="shared" ref="W5:X5" si="1">V5+7</f>
        <v>46125</v>
      </c>
      <c r="X5" s="59">
        <f t="shared" si="1"/>
        <v>46132</v>
      </c>
      <c r="Y5" s="62">
        <f>X5+7</f>
        <v>46139</v>
      </c>
      <c r="Z5" s="61">
        <f>Y5+7</f>
        <v>46146</v>
      </c>
      <c r="AA5" s="59">
        <f t="shared" ref="AA5:AB5" si="2">Z5+7</f>
        <v>46153</v>
      </c>
      <c r="AB5" s="59">
        <f t="shared" si="2"/>
        <v>46160</v>
      </c>
      <c r="AC5" s="62">
        <f>AB5+7</f>
        <v>46167</v>
      </c>
      <c r="AD5" s="61">
        <f>AC5+7</f>
        <v>46174</v>
      </c>
      <c r="AE5" s="59">
        <f t="shared" ref="AE5:AG5" si="3">AD5+7</f>
        <v>46181</v>
      </c>
      <c r="AF5" s="59">
        <f t="shared" si="3"/>
        <v>46188</v>
      </c>
      <c r="AG5" s="59">
        <f t="shared" si="3"/>
        <v>46195</v>
      </c>
      <c r="AH5" s="62">
        <f>AG5+7</f>
        <v>46202</v>
      </c>
      <c r="AI5" s="61">
        <f>AH5+7</f>
        <v>46209</v>
      </c>
      <c r="AJ5" s="59">
        <f t="shared" ref="AJ5:AK5" si="4">AI5+7</f>
        <v>46216</v>
      </c>
      <c r="AK5" s="59">
        <f t="shared" si="4"/>
        <v>46223</v>
      </c>
      <c r="AL5" s="62">
        <f>AK5+7</f>
        <v>46230</v>
      </c>
      <c r="AM5" s="61">
        <f>AL5+7</f>
        <v>46237</v>
      </c>
      <c r="AN5" s="59">
        <f>AM5+7</f>
        <v>46244</v>
      </c>
      <c r="AO5" s="59">
        <f t="shared" ref="AO5:AQ5" si="5">AN5+7</f>
        <v>46251</v>
      </c>
      <c r="AP5" s="59">
        <f t="shared" si="5"/>
        <v>46258</v>
      </c>
      <c r="AQ5" s="62">
        <f t="shared" si="5"/>
        <v>46265</v>
      </c>
      <c r="AR5" s="61">
        <f>AQ5+7</f>
        <v>46272</v>
      </c>
      <c r="AS5" s="59">
        <f t="shared" ref="AS5:AT5" si="6">AR5+7</f>
        <v>46279</v>
      </c>
      <c r="AT5" s="59">
        <f t="shared" si="6"/>
        <v>46286</v>
      </c>
      <c r="AU5" s="62">
        <f>AT5+7</f>
        <v>46293</v>
      </c>
      <c r="AV5" s="61">
        <f>AU5+7</f>
        <v>46300</v>
      </c>
      <c r="AW5" s="59">
        <f t="shared" ref="AW5:AX5" si="7">AV5+7</f>
        <v>46307</v>
      </c>
      <c r="AX5" s="59">
        <f t="shared" si="7"/>
        <v>46314</v>
      </c>
      <c r="AY5" s="62">
        <f>AX5+7</f>
        <v>46321</v>
      </c>
      <c r="AZ5" s="61">
        <f t="shared" ref="AZ5:BD5" si="8">AY5+7</f>
        <v>46328</v>
      </c>
      <c r="BA5" s="59">
        <f t="shared" si="8"/>
        <v>46335</v>
      </c>
      <c r="BB5" s="59">
        <f t="shared" si="8"/>
        <v>46342</v>
      </c>
      <c r="BC5" s="59">
        <f t="shared" si="8"/>
        <v>46349</v>
      </c>
      <c r="BD5" s="62">
        <f t="shared" si="8"/>
        <v>46356</v>
      </c>
      <c r="BE5" s="61">
        <f>BD5+7</f>
        <v>46363</v>
      </c>
      <c r="BF5" s="59">
        <f t="shared" ref="BF5:BG5" si="9">BE5+7</f>
        <v>46370</v>
      </c>
      <c r="BG5" s="59">
        <f t="shared" si="9"/>
        <v>46377</v>
      </c>
      <c r="BH5" s="62">
        <f>BG5+7</f>
        <v>46384</v>
      </c>
      <c r="BI5" s="61">
        <f>BH5+7</f>
        <v>46391</v>
      </c>
      <c r="BJ5" s="59">
        <f t="shared" ref="BJ5:BK5" si="10">BI5+7</f>
        <v>46398</v>
      </c>
      <c r="BK5" s="59">
        <f t="shared" si="10"/>
        <v>46405</v>
      </c>
      <c r="BL5" s="62">
        <f>BK5+7</f>
        <v>46412</v>
      </c>
      <c r="BM5" s="61">
        <f>BL5+7</f>
        <v>46419</v>
      </c>
      <c r="BN5" s="59">
        <f t="shared" ref="BN5:BO5" si="11">BM5+7</f>
        <v>46426</v>
      </c>
      <c r="BO5" s="59">
        <f t="shared" si="11"/>
        <v>46433</v>
      </c>
      <c r="BP5" s="62">
        <f>BO5+7</f>
        <v>46440</v>
      </c>
      <c r="BQ5" s="61">
        <f>BP5+7</f>
        <v>46447</v>
      </c>
      <c r="BR5" s="59">
        <f t="shared" ref="BR5:BS5" si="12">BQ5+7</f>
        <v>46454</v>
      </c>
      <c r="BS5" s="59">
        <f t="shared" si="12"/>
        <v>46461</v>
      </c>
      <c r="BT5" s="62">
        <f>BS5+7</f>
        <v>46468</v>
      </c>
    </row>
    <row r="6" spans="1:72">
      <c r="A6" s="92" t="s">
        <v>146</v>
      </c>
      <c r="B6" s="92" t="s">
        <v>147</v>
      </c>
      <c r="C6" s="92" t="s">
        <v>138</v>
      </c>
      <c r="D6" s="92" t="s">
        <v>209</v>
      </c>
      <c r="E6" s="92" t="s">
        <v>210</v>
      </c>
      <c r="F6" s="92" t="s">
        <v>148</v>
      </c>
      <c r="G6" s="227" t="s">
        <v>149</v>
      </c>
      <c r="H6" s="93" t="s">
        <v>15</v>
      </c>
      <c r="I6" s="63" t="s">
        <v>150</v>
      </c>
      <c r="J6" s="63" t="s">
        <v>151</v>
      </c>
      <c r="K6" s="63" t="s">
        <v>152</v>
      </c>
      <c r="L6" s="63" t="s">
        <v>153</v>
      </c>
      <c r="M6" s="63" t="s">
        <v>150</v>
      </c>
      <c r="N6" s="63" t="s">
        <v>151</v>
      </c>
      <c r="O6" s="63" t="s">
        <v>152</v>
      </c>
      <c r="P6" s="63" t="s">
        <v>153</v>
      </c>
      <c r="Q6" s="63" t="s">
        <v>150</v>
      </c>
      <c r="R6" s="63" t="s">
        <v>151</v>
      </c>
      <c r="S6" s="63" t="s">
        <v>152</v>
      </c>
      <c r="T6" s="63" t="s">
        <v>153</v>
      </c>
      <c r="U6" s="63" t="s">
        <v>154</v>
      </c>
      <c r="V6" s="63" t="s">
        <v>150</v>
      </c>
      <c r="W6" s="63" t="s">
        <v>151</v>
      </c>
      <c r="X6" s="63" t="s">
        <v>152</v>
      </c>
      <c r="Y6" s="63" t="s">
        <v>153</v>
      </c>
      <c r="Z6" s="63" t="s">
        <v>150</v>
      </c>
      <c r="AA6" s="63" t="s">
        <v>151</v>
      </c>
      <c r="AB6" s="63" t="s">
        <v>152</v>
      </c>
      <c r="AC6" s="63" t="s">
        <v>153</v>
      </c>
      <c r="AD6" s="63" t="s">
        <v>150</v>
      </c>
      <c r="AE6" s="63" t="s">
        <v>151</v>
      </c>
      <c r="AF6" s="63" t="s">
        <v>152</v>
      </c>
      <c r="AG6" s="63" t="s">
        <v>153</v>
      </c>
      <c r="AH6" s="63" t="s">
        <v>154</v>
      </c>
      <c r="AI6" s="63" t="s">
        <v>150</v>
      </c>
      <c r="AJ6" s="63" t="s">
        <v>151</v>
      </c>
      <c r="AK6" s="63" t="s">
        <v>152</v>
      </c>
      <c r="AL6" s="63" t="s">
        <v>153</v>
      </c>
      <c r="AM6" s="63" t="s">
        <v>150</v>
      </c>
      <c r="AN6" s="63" t="s">
        <v>151</v>
      </c>
      <c r="AO6" s="63" t="s">
        <v>152</v>
      </c>
      <c r="AP6" s="63" t="s">
        <v>153</v>
      </c>
      <c r="AQ6" s="63" t="s">
        <v>154</v>
      </c>
      <c r="AR6" s="63" t="s">
        <v>150</v>
      </c>
      <c r="AS6" s="63" t="s">
        <v>151</v>
      </c>
      <c r="AT6" s="63" t="s">
        <v>152</v>
      </c>
      <c r="AU6" s="63" t="s">
        <v>153</v>
      </c>
      <c r="AV6" s="63" t="s">
        <v>150</v>
      </c>
      <c r="AW6" s="63" t="s">
        <v>151</v>
      </c>
      <c r="AX6" s="63" t="s">
        <v>152</v>
      </c>
      <c r="AY6" s="63" t="s">
        <v>153</v>
      </c>
      <c r="AZ6" s="63" t="s">
        <v>150</v>
      </c>
      <c r="BA6" s="63" t="s">
        <v>151</v>
      </c>
      <c r="BB6" s="63" t="s">
        <v>152</v>
      </c>
      <c r="BC6" s="63" t="s">
        <v>153</v>
      </c>
      <c r="BD6" s="63" t="s">
        <v>154</v>
      </c>
      <c r="BE6" s="63" t="s">
        <v>150</v>
      </c>
      <c r="BF6" s="63" t="s">
        <v>151</v>
      </c>
      <c r="BG6" s="63" t="s">
        <v>152</v>
      </c>
      <c r="BH6" s="63" t="s">
        <v>153</v>
      </c>
      <c r="BI6" s="63" t="s">
        <v>150</v>
      </c>
      <c r="BJ6" s="63" t="s">
        <v>151</v>
      </c>
      <c r="BK6" s="63" t="s">
        <v>152</v>
      </c>
      <c r="BL6" s="63" t="s">
        <v>153</v>
      </c>
      <c r="BM6" s="63" t="s">
        <v>150</v>
      </c>
      <c r="BN6" s="63" t="s">
        <v>151</v>
      </c>
      <c r="BO6" s="63" t="s">
        <v>152</v>
      </c>
      <c r="BP6" s="63" t="s">
        <v>153</v>
      </c>
      <c r="BQ6" s="63" t="s">
        <v>150</v>
      </c>
      <c r="BR6" s="63" t="s">
        <v>151</v>
      </c>
      <c r="BS6" s="63" t="s">
        <v>152</v>
      </c>
      <c r="BT6" s="63" t="s">
        <v>153</v>
      </c>
    </row>
    <row r="7" spans="1:72">
      <c r="A7" s="102" t="s">
        <v>155</v>
      </c>
      <c r="B7" s="94"/>
      <c r="C7" s="219"/>
      <c r="D7" s="219"/>
      <c r="E7" s="219"/>
      <c r="F7" s="225" t="s">
        <v>211</v>
      </c>
      <c r="G7" s="228" t="s">
        <v>50</v>
      </c>
      <c r="H7" s="105" t="s">
        <v>212</v>
      </c>
      <c r="I7" s="97"/>
      <c r="J7" s="98"/>
      <c r="K7" s="98"/>
      <c r="L7" s="99"/>
      <c r="M7" s="98"/>
      <c r="N7" s="98"/>
      <c r="O7" s="73"/>
      <c r="P7" s="74"/>
      <c r="Q7" s="73"/>
      <c r="R7" s="72"/>
      <c r="S7" s="73"/>
      <c r="T7" s="73"/>
      <c r="U7" s="74"/>
      <c r="V7" s="72"/>
      <c r="W7" s="66"/>
      <c r="X7" s="66"/>
      <c r="Y7" s="67"/>
      <c r="Z7" s="65"/>
      <c r="AA7" s="66"/>
      <c r="AB7" s="66"/>
      <c r="AC7" s="67"/>
      <c r="AD7" s="65"/>
      <c r="AE7" s="66"/>
      <c r="AF7" s="66"/>
      <c r="AG7" s="66"/>
      <c r="AH7" s="67"/>
      <c r="AI7" s="65"/>
      <c r="AJ7" s="66"/>
      <c r="AK7" s="66"/>
      <c r="AL7" s="67"/>
      <c r="AM7" s="65"/>
      <c r="AN7" s="66"/>
      <c r="AO7" s="66"/>
      <c r="AP7" s="66"/>
      <c r="AQ7" s="67"/>
      <c r="AR7" s="65"/>
      <c r="AS7" s="66"/>
      <c r="AT7" s="66"/>
      <c r="AU7" s="67"/>
      <c r="AV7" s="65"/>
      <c r="AW7" s="66"/>
      <c r="AX7" s="66"/>
      <c r="AY7" s="67"/>
      <c r="AZ7" s="65"/>
      <c r="BA7" s="66"/>
      <c r="BB7" s="66"/>
      <c r="BC7" s="66"/>
      <c r="BD7" s="67"/>
      <c r="BE7" s="65"/>
      <c r="BF7" s="66"/>
      <c r="BG7" s="66"/>
      <c r="BH7" s="67"/>
      <c r="BI7" s="65"/>
      <c r="BJ7" s="66"/>
      <c r="BK7" s="66"/>
      <c r="BL7" s="67"/>
      <c r="BM7" s="65"/>
      <c r="BN7" s="66"/>
      <c r="BO7" s="66"/>
      <c r="BP7" s="67"/>
      <c r="BQ7" s="65"/>
      <c r="BR7" s="66"/>
      <c r="BS7" s="66"/>
      <c r="BT7" s="67"/>
    </row>
    <row r="8" spans="1:72">
      <c r="A8" s="68"/>
      <c r="B8" s="69" t="s">
        <v>158</v>
      </c>
      <c r="C8" s="220">
        <v>46069</v>
      </c>
      <c r="D8" s="220">
        <v>46090</v>
      </c>
      <c r="E8" s="220">
        <f>Table15[[#This Row],[End 1 (for calculation)]]+$E$5</f>
        <v>46094</v>
      </c>
      <c r="F8" s="233">
        <f>5*4</f>
        <v>20</v>
      </c>
      <c r="G8" s="229">
        <v>1</v>
      </c>
      <c r="H8" s="69"/>
      <c r="I8" s="65"/>
      <c r="J8" s="66"/>
      <c r="K8" s="66"/>
      <c r="L8" s="67"/>
      <c r="M8" s="65"/>
      <c r="N8" s="66"/>
      <c r="O8" s="100"/>
      <c r="P8" s="101"/>
      <c r="Q8" s="100"/>
      <c r="R8" s="112"/>
      <c r="S8" s="65"/>
      <c r="T8" s="65"/>
      <c r="U8" s="67"/>
      <c r="V8" s="65"/>
      <c r="W8" s="66"/>
      <c r="X8" s="66"/>
      <c r="Y8" s="67"/>
      <c r="Z8" s="65"/>
      <c r="AA8" s="66"/>
      <c r="AB8" s="66"/>
      <c r="AC8" s="67"/>
      <c r="AD8" s="65"/>
      <c r="AE8" s="66"/>
      <c r="AF8" s="66"/>
      <c r="AG8" s="66"/>
      <c r="AH8" s="67"/>
      <c r="AI8" s="65"/>
      <c r="AJ8" s="66"/>
      <c r="AK8" s="66"/>
      <c r="AL8" s="67"/>
      <c r="AM8" s="65"/>
      <c r="AN8" s="66"/>
      <c r="AO8" s="66"/>
      <c r="AP8" s="66"/>
      <c r="AQ8" s="67"/>
      <c r="AR8" s="65"/>
      <c r="AS8" s="66"/>
      <c r="AT8" s="66"/>
      <c r="AU8" s="67"/>
      <c r="AV8" s="65"/>
      <c r="AW8" s="66"/>
      <c r="AX8" s="66"/>
      <c r="AY8" s="67"/>
      <c r="AZ8" s="65"/>
      <c r="BA8" s="66"/>
      <c r="BB8" s="66"/>
      <c r="BC8" s="66"/>
      <c r="BD8" s="67"/>
      <c r="BE8" s="65"/>
      <c r="BF8" s="66"/>
      <c r="BG8" s="66"/>
      <c r="BH8" s="67"/>
      <c r="BI8" s="65"/>
      <c r="BJ8" s="66"/>
      <c r="BK8" s="66"/>
      <c r="BL8" s="67"/>
      <c r="BM8" s="65"/>
      <c r="BN8" s="66"/>
      <c r="BO8" s="66"/>
      <c r="BP8" s="67"/>
      <c r="BQ8" s="65"/>
      <c r="BR8" s="66"/>
      <c r="BS8" s="66"/>
      <c r="BT8" s="67"/>
    </row>
    <row r="9" spans="1:72">
      <c r="A9" s="68"/>
      <c r="B9" s="69" t="s">
        <v>159</v>
      </c>
      <c r="C9" s="220">
        <v>46097</v>
      </c>
      <c r="D9" s="220">
        <v>46135</v>
      </c>
      <c r="E9" s="220">
        <f>Table15[[#This Row],[End 1 (for calculation)]]+$E$5</f>
        <v>46139</v>
      </c>
      <c r="F9" s="233">
        <v>10</v>
      </c>
      <c r="G9" s="229">
        <v>1</v>
      </c>
      <c r="H9" s="69"/>
      <c r="I9" s="65"/>
      <c r="J9" s="66"/>
      <c r="K9" s="66"/>
      <c r="L9" s="67"/>
      <c r="M9" s="65"/>
      <c r="N9" s="66"/>
      <c r="O9" s="66"/>
      <c r="P9" s="67"/>
      <c r="Q9" s="66"/>
      <c r="R9" s="65"/>
      <c r="S9" s="106"/>
      <c r="T9" s="106"/>
      <c r="U9" s="215"/>
      <c r="V9" s="216"/>
      <c r="W9" s="66"/>
      <c r="X9" s="66"/>
      <c r="Y9" s="67"/>
      <c r="Z9" s="65"/>
      <c r="AA9" s="66"/>
      <c r="AB9" s="66"/>
      <c r="AC9" s="67"/>
      <c r="AD9" s="65"/>
      <c r="AE9" s="66"/>
      <c r="AF9" s="66"/>
      <c r="AG9" s="66"/>
      <c r="AH9" s="67"/>
      <c r="AI9" s="65"/>
      <c r="AJ9" s="66"/>
      <c r="AK9" s="66"/>
      <c r="AL9" s="67"/>
      <c r="AM9" s="65"/>
      <c r="AN9" s="66"/>
      <c r="AO9" s="66"/>
      <c r="AP9" s="66"/>
      <c r="AQ9" s="67"/>
      <c r="AR9" s="65"/>
      <c r="AS9" s="66"/>
      <c r="AT9" s="66"/>
      <c r="AU9" s="67"/>
      <c r="AV9" s="65"/>
      <c r="AW9" s="66"/>
      <c r="AX9" s="66"/>
      <c r="AY9" s="67"/>
      <c r="AZ9" s="65"/>
      <c r="BA9" s="66"/>
      <c r="BB9" s="66"/>
      <c r="BC9" s="66"/>
      <c r="BD9" s="67"/>
      <c r="BE9" s="65"/>
      <c r="BF9" s="66"/>
      <c r="BG9" s="66"/>
      <c r="BH9" s="67"/>
      <c r="BI9" s="65"/>
      <c r="BJ9" s="66"/>
      <c r="BK9" s="66"/>
      <c r="BL9" s="67"/>
      <c r="BM9" s="65"/>
      <c r="BN9" s="66"/>
      <c r="BO9" s="66"/>
      <c r="BP9" s="67"/>
      <c r="BQ9" s="65"/>
      <c r="BR9" s="66"/>
      <c r="BS9" s="66"/>
      <c r="BT9" s="67"/>
    </row>
    <row r="10" spans="1:72">
      <c r="A10" s="71"/>
      <c r="B10" s="71" t="s">
        <v>160</v>
      </c>
      <c r="C10" s="221">
        <v>46111</v>
      </c>
      <c r="D10" s="221">
        <v>46118</v>
      </c>
      <c r="E10" s="221">
        <f>Table15[[#This Row],[End 1 (for calculation)]]+$E$5</f>
        <v>46122</v>
      </c>
      <c r="F10" s="234">
        <v>10</v>
      </c>
      <c r="G10" s="229">
        <v>1</v>
      </c>
      <c r="H10" s="71"/>
      <c r="I10" s="65"/>
      <c r="J10" s="66"/>
      <c r="K10" s="66"/>
      <c r="L10" s="67"/>
      <c r="M10" s="65"/>
      <c r="N10" s="66"/>
      <c r="O10" s="66"/>
      <c r="P10" s="67"/>
      <c r="Q10" s="66"/>
      <c r="R10" s="65"/>
      <c r="S10" s="65"/>
      <c r="T10" s="65"/>
      <c r="U10" s="108"/>
      <c r="V10" s="106"/>
      <c r="W10" s="214"/>
      <c r="X10" s="214"/>
      <c r="Y10" s="67"/>
      <c r="Z10" s="65"/>
      <c r="AA10" s="66"/>
      <c r="AB10" s="66"/>
      <c r="AC10" s="67"/>
      <c r="AD10" s="65"/>
      <c r="AE10" s="66"/>
      <c r="AF10" s="66"/>
      <c r="AG10" s="66"/>
      <c r="AH10" s="67"/>
      <c r="AI10" s="65"/>
      <c r="AJ10" s="66"/>
      <c r="AK10" s="66"/>
      <c r="AL10" s="67"/>
      <c r="AM10" s="65"/>
      <c r="AN10" s="66"/>
      <c r="AO10" s="66"/>
      <c r="AP10" s="66"/>
      <c r="AQ10" s="67"/>
      <c r="AR10" s="65"/>
      <c r="AS10" s="66"/>
      <c r="AT10" s="66"/>
      <c r="AU10" s="67"/>
      <c r="AV10" s="65"/>
      <c r="AW10" s="66"/>
      <c r="AX10" s="66"/>
      <c r="AY10" s="67"/>
      <c r="AZ10" s="65"/>
      <c r="BA10" s="66"/>
      <c r="BB10" s="66"/>
      <c r="BC10" s="66"/>
      <c r="BD10" s="67"/>
      <c r="BE10" s="65"/>
      <c r="BF10" s="66"/>
      <c r="BG10" s="66"/>
      <c r="BH10" s="67"/>
      <c r="BI10" s="65"/>
      <c r="BJ10" s="66"/>
      <c r="BK10" s="66"/>
      <c r="BL10" s="67"/>
      <c r="BM10" s="65"/>
      <c r="BN10" s="66"/>
      <c r="BO10" s="66"/>
      <c r="BP10" s="67"/>
      <c r="BQ10" s="65"/>
      <c r="BR10" s="66"/>
      <c r="BS10" s="66"/>
      <c r="BT10" s="67"/>
    </row>
    <row r="11" spans="1:72">
      <c r="A11" s="102" t="s">
        <v>165</v>
      </c>
      <c r="B11" s="94"/>
      <c r="C11" s="219"/>
      <c r="D11" s="219"/>
      <c r="E11" s="219"/>
      <c r="F11" s="225" t="s">
        <v>166</v>
      </c>
      <c r="G11" s="228"/>
      <c r="H11" s="105" t="s">
        <v>167</v>
      </c>
      <c r="I11" s="65"/>
      <c r="J11" s="66"/>
      <c r="K11" s="66"/>
      <c r="L11" s="67"/>
      <c r="M11" s="65"/>
      <c r="N11" s="66"/>
      <c r="O11" s="66"/>
      <c r="P11" s="67"/>
      <c r="Q11" s="73"/>
      <c r="R11" s="73"/>
      <c r="S11" s="72"/>
      <c r="T11" s="72"/>
      <c r="U11" s="74"/>
      <c r="V11" s="72"/>
      <c r="W11" s="73"/>
      <c r="X11" s="73"/>
      <c r="Y11" s="74"/>
      <c r="Z11" s="72"/>
      <c r="AA11" s="73"/>
      <c r="AB11" s="73"/>
      <c r="AC11" s="74"/>
      <c r="AD11" s="72"/>
      <c r="AE11" s="73"/>
      <c r="AF11" s="73"/>
      <c r="AG11" s="73"/>
      <c r="AH11" s="74"/>
      <c r="AI11" s="72"/>
      <c r="AJ11" s="73"/>
      <c r="AK11" s="73"/>
      <c r="AL11" s="74"/>
      <c r="AM11" s="72"/>
      <c r="AN11" s="73"/>
      <c r="AO11" s="73"/>
      <c r="AP11" s="73"/>
      <c r="AQ11" s="74"/>
      <c r="AR11" s="72"/>
      <c r="AS11" s="73"/>
      <c r="AT11" s="73"/>
      <c r="AU11" s="74"/>
      <c r="AV11" s="72"/>
      <c r="AW11" s="73"/>
      <c r="AX11" s="73"/>
      <c r="AY11" s="74"/>
      <c r="AZ11" s="72"/>
      <c r="BA11" s="73"/>
      <c r="BB11" s="73"/>
      <c r="BC11" s="73"/>
      <c r="BD11" s="74"/>
      <c r="BE11" s="72"/>
      <c r="BF11" s="73"/>
      <c r="BG11" s="73"/>
      <c r="BH11" s="75"/>
      <c r="BI11" s="65"/>
      <c r="BJ11" s="66"/>
      <c r="BK11" s="66"/>
      <c r="BL11" s="87"/>
      <c r="BM11" s="65"/>
      <c r="BN11" s="66"/>
      <c r="BO11" s="66"/>
      <c r="BP11" s="87"/>
      <c r="BQ11" s="65"/>
      <c r="BR11" s="66"/>
      <c r="BS11" s="66"/>
      <c r="BT11" s="87"/>
    </row>
    <row r="12" spans="1:72">
      <c r="A12" s="71"/>
      <c r="B12" s="71" t="s">
        <v>164</v>
      </c>
      <c r="C12" s="221">
        <v>46083</v>
      </c>
      <c r="D12" s="221">
        <v>46167</v>
      </c>
      <c r="E12" s="221">
        <f>Table15[[#This Row],[End 1 (for calculation)]]+$E$5</f>
        <v>46171</v>
      </c>
      <c r="F12" s="234">
        <f>13*5</f>
        <v>65</v>
      </c>
      <c r="G12" s="229">
        <v>0.95</v>
      </c>
      <c r="H12" s="71"/>
      <c r="I12" s="65"/>
      <c r="J12" s="66"/>
      <c r="K12" s="66"/>
      <c r="L12" s="67"/>
      <c r="M12" s="65"/>
      <c r="N12" s="66"/>
      <c r="O12" s="66"/>
      <c r="P12" s="67"/>
      <c r="Q12" s="106"/>
      <c r="R12" s="106"/>
      <c r="S12" s="106"/>
      <c r="T12" s="106"/>
      <c r="U12" s="108"/>
      <c r="V12" s="106"/>
      <c r="W12" s="107"/>
      <c r="X12" s="107"/>
      <c r="Y12" s="108"/>
      <c r="Z12" s="106"/>
      <c r="AA12" s="107"/>
      <c r="AB12" s="107"/>
      <c r="AC12" s="108"/>
      <c r="AD12" s="65"/>
      <c r="AE12" s="66"/>
      <c r="AF12" s="66"/>
      <c r="AG12" s="66"/>
      <c r="AH12" s="67"/>
      <c r="AI12" s="65"/>
      <c r="AJ12" s="66"/>
      <c r="AK12" s="66"/>
      <c r="AL12" s="67"/>
      <c r="AM12" s="65"/>
      <c r="AN12" s="66"/>
      <c r="AO12" s="66"/>
      <c r="AP12" s="66"/>
      <c r="AQ12" s="67"/>
      <c r="AR12" s="65"/>
      <c r="AS12" s="66"/>
      <c r="AT12" s="66"/>
      <c r="AU12" s="67"/>
      <c r="AV12" s="65"/>
      <c r="AW12" s="66"/>
      <c r="AX12" s="66"/>
      <c r="AY12" s="67"/>
      <c r="AZ12" s="65"/>
      <c r="BA12" s="66"/>
      <c r="BB12" s="66"/>
      <c r="BC12" s="66"/>
      <c r="BD12" s="67"/>
      <c r="BE12" s="65"/>
      <c r="BF12" s="66"/>
      <c r="BG12" s="66"/>
      <c r="BH12" s="87"/>
      <c r="BI12" s="65"/>
      <c r="BJ12" s="66"/>
      <c r="BK12" s="66"/>
      <c r="BL12" s="87"/>
      <c r="BM12" s="65"/>
      <c r="BN12" s="66"/>
      <c r="BO12" s="66"/>
      <c r="BP12" s="87"/>
      <c r="BQ12" s="65"/>
      <c r="BR12" s="66"/>
      <c r="BS12" s="66"/>
      <c r="BT12" s="87"/>
    </row>
    <row r="13" spans="1:72" s="213" customFormat="1">
      <c r="A13" s="253"/>
      <c r="B13" s="254" t="s">
        <v>281</v>
      </c>
      <c r="C13" s="255">
        <v>46083</v>
      </c>
      <c r="D13" s="255">
        <v>46167</v>
      </c>
      <c r="E13" s="256">
        <f>Table15[[#This Row],[End 1 (for calculation)]]+$E$5</f>
        <v>46171</v>
      </c>
      <c r="F13" s="257">
        <v>65</v>
      </c>
      <c r="G13" s="258">
        <v>0.95</v>
      </c>
      <c r="H13" s="254"/>
      <c r="I13" s="259"/>
      <c r="J13" s="214"/>
      <c r="K13" s="214"/>
      <c r="L13" s="260"/>
      <c r="M13" s="259"/>
      <c r="N13" s="214"/>
      <c r="O13" s="214"/>
      <c r="P13" s="260"/>
      <c r="Q13" s="259"/>
      <c r="R13" s="259"/>
      <c r="S13" s="259"/>
      <c r="T13" s="259"/>
      <c r="U13" s="260"/>
      <c r="V13" s="259"/>
      <c r="W13" s="214"/>
      <c r="X13" s="214"/>
      <c r="Y13" s="260"/>
      <c r="Z13" s="259"/>
      <c r="AA13" s="214"/>
      <c r="AB13" s="214"/>
      <c r="AC13" s="260"/>
      <c r="AD13" s="259"/>
      <c r="AE13" s="214"/>
      <c r="AF13" s="214"/>
      <c r="AG13" s="214"/>
      <c r="AH13" s="260"/>
      <c r="AI13" s="259"/>
      <c r="AJ13" s="214"/>
      <c r="AK13" s="214"/>
      <c r="AL13" s="260"/>
      <c r="AM13" s="259"/>
      <c r="AN13" s="214"/>
      <c r="AO13" s="214"/>
      <c r="AP13" s="214"/>
      <c r="AQ13" s="260"/>
      <c r="AR13" s="259"/>
      <c r="AS13" s="214"/>
      <c r="AT13" s="214"/>
      <c r="AU13" s="260"/>
      <c r="AV13" s="259"/>
      <c r="AW13" s="214"/>
      <c r="AX13" s="214"/>
      <c r="AY13" s="260"/>
      <c r="AZ13" s="259"/>
      <c r="BA13" s="214"/>
      <c r="BB13" s="214"/>
      <c r="BC13" s="214"/>
      <c r="BD13" s="260"/>
      <c r="BE13" s="259"/>
      <c r="BF13" s="214"/>
      <c r="BG13" s="214"/>
      <c r="BH13" s="261"/>
      <c r="BI13" s="259"/>
      <c r="BJ13" s="214"/>
      <c r="BK13" s="214"/>
      <c r="BL13" s="261"/>
      <c r="BM13" s="259"/>
      <c r="BN13" s="214"/>
      <c r="BO13" s="214"/>
      <c r="BP13" s="261"/>
      <c r="BQ13" s="259"/>
      <c r="BR13" s="214"/>
      <c r="BS13" s="214"/>
      <c r="BT13" s="261"/>
    </row>
    <row r="14" spans="1:72" s="213" customFormat="1">
      <c r="A14" s="262"/>
      <c r="B14" s="262" t="s">
        <v>169</v>
      </c>
      <c r="C14" s="255">
        <v>46083</v>
      </c>
      <c r="D14" s="255">
        <v>46167</v>
      </c>
      <c r="E14" s="255">
        <f>Table15[[#This Row],[End 1 (for calculation)]]+$E$5</f>
        <v>46171</v>
      </c>
      <c r="F14" s="263">
        <v>65</v>
      </c>
      <c r="G14" s="258">
        <v>0.95</v>
      </c>
      <c r="H14" s="262"/>
      <c r="I14" s="259"/>
      <c r="J14" s="214"/>
      <c r="K14" s="214"/>
      <c r="L14" s="260"/>
      <c r="M14" s="259"/>
      <c r="N14" s="214"/>
      <c r="O14" s="214"/>
      <c r="P14" s="260"/>
      <c r="Q14" s="259"/>
      <c r="R14" s="259"/>
      <c r="S14" s="259"/>
      <c r="T14" s="259"/>
      <c r="U14" s="260"/>
      <c r="V14" s="259"/>
      <c r="W14" s="214"/>
      <c r="X14" s="214"/>
      <c r="Y14" s="260"/>
      <c r="Z14" s="259"/>
      <c r="AA14" s="214"/>
      <c r="AB14" s="214"/>
      <c r="AC14" s="260"/>
      <c r="AD14" s="259"/>
      <c r="AE14" s="214"/>
      <c r="AF14" s="214"/>
      <c r="AG14" s="214"/>
      <c r="AH14" s="260"/>
      <c r="AI14" s="259"/>
      <c r="AJ14" s="214"/>
      <c r="AK14" s="214"/>
      <c r="AL14" s="260"/>
      <c r="AM14" s="259"/>
      <c r="AN14" s="214"/>
      <c r="AO14" s="214"/>
      <c r="AP14" s="214"/>
      <c r="AQ14" s="260"/>
      <c r="AR14" s="259"/>
      <c r="AS14" s="214"/>
      <c r="AT14" s="214"/>
      <c r="AU14" s="260"/>
      <c r="AV14" s="259"/>
      <c r="AW14" s="214"/>
      <c r="AX14" s="214"/>
      <c r="AY14" s="260"/>
      <c r="AZ14" s="259"/>
      <c r="BA14" s="214"/>
      <c r="BB14" s="214"/>
      <c r="BC14" s="214"/>
      <c r="BD14" s="260"/>
      <c r="BE14" s="259"/>
      <c r="BF14" s="214"/>
      <c r="BG14" s="214"/>
      <c r="BH14" s="261"/>
      <c r="BI14" s="259"/>
      <c r="BJ14" s="214"/>
      <c r="BK14" s="214"/>
      <c r="BL14" s="261"/>
      <c r="BM14" s="259"/>
      <c r="BN14" s="214"/>
      <c r="BO14" s="214"/>
      <c r="BP14" s="261"/>
      <c r="BQ14" s="259"/>
      <c r="BR14" s="214"/>
      <c r="BS14" s="214"/>
      <c r="BT14" s="261"/>
    </row>
    <row r="15" spans="1:72">
      <c r="A15" s="69"/>
      <c r="B15" s="152" t="s">
        <v>214</v>
      </c>
      <c r="C15" s="222">
        <v>46174</v>
      </c>
      <c r="D15" s="222">
        <v>46202</v>
      </c>
      <c r="E15" s="222">
        <f>Table15[[#This Row],[End 1 (for calculation)]]+$E$5</f>
        <v>46206</v>
      </c>
      <c r="F15" s="233">
        <v>25</v>
      </c>
      <c r="G15" s="229">
        <v>0</v>
      </c>
      <c r="H15" s="69"/>
      <c r="I15" s="65"/>
      <c r="J15" s="66"/>
      <c r="K15" s="66"/>
      <c r="L15" s="67"/>
      <c r="M15" s="65"/>
      <c r="N15" s="66"/>
      <c r="O15" s="66"/>
      <c r="P15" s="67"/>
      <c r="Q15" s="65"/>
      <c r="R15" s="65"/>
      <c r="S15" s="65"/>
      <c r="T15" s="65"/>
      <c r="U15" s="67"/>
      <c r="V15" s="65"/>
      <c r="W15" s="66"/>
      <c r="X15" s="66"/>
      <c r="Y15" s="67"/>
      <c r="Z15" s="65"/>
      <c r="AA15" s="66"/>
      <c r="AB15" s="66"/>
      <c r="AC15" s="67"/>
      <c r="AD15" s="106"/>
      <c r="AE15" s="107"/>
      <c r="AF15" s="107"/>
      <c r="AG15" s="107"/>
      <c r="AH15" s="151" t="s">
        <v>171</v>
      </c>
      <c r="AI15" s="147"/>
      <c r="AJ15" s="148"/>
      <c r="AK15" s="148"/>
      <c r="AL15" s="149"/>
      <c r="AM15" s="65"/>
      <c r="AN15" s="66"/>
      <c r="AO15" s="66"/>
      <c r="AP15" s="66"/>
      <c r="AQ15" s="67"/>
      <c r="AR15" s="65"/>
      <c r="AS15" s="66"/>
      <c r="AT15" s="66"/>
      <c r="AU15" s="67"/>
      <c r="AV15" s="65"/>
      <c r="AW15" s="66"/>
      <c r="AX15" s="66"/>
      <c r="AY15" s="67"/>
      <c r="AZ15" s="65"/>
      <c r="BA15" s="66"/>
      <c r="BB15" s="66"/>
      <c r="BC15" s="66"/>
      <c r="BD15" s="67"/>
      <c r="BE15" s="65"/>
      <c r="BF15" s="66"/>
      <c r="BG15" s="66"/>
      <c r="BH15" s="87"/>
      <c r="BI15" s="65"/>
      <c r="BJ15" s="66"/>
      <c r="BK15" s="66"/>
      <c r="BL15" s="87"/>
      <c r="BM15" s="65"/>
      <c r="BN15" s="66"/>
      <c r="BO15" s="66"/>
      <c r="BP15" s="87"/>
      <c r="BQ15" s="65"/>
      <c r="BR15" s="66"/>
      <c r="BS15" s="66"/>
      <c r="BT15" s="87"/>
    </row>
    <row r="16" spans="1:72">
      <c r="A16" s="71"/>
      <c r="B16" s="71" t="s">
        <v>172</v>
      </c>
      <c r="C16" s="221">
        <v>46209</v>
      </c>
      <c r="D16" s="221">
        <v>46230</v>
      </c>
      <c r="E16" s="221">
        <f>Table15[[#This Row],[End 1 (for calculation)]]+$E$5</f>
        <v>46234</v>
      </c>
      <c r="F16" s="234">
        <v>15</v>
      </c>
      <c r="G16" s="229">
        <v>0</v>
      </c>
      <c r="H16" s="71"/>
      <c r="I16" s="65"/>
      <c r="J16" s="66"/>
      <c r="K16" s="66"/>
      <c r="L16" s="67"/>
      <c r="M16" s="65"/>
      <c r="N16" s="66"/>
      <c r="O16" s="66"/>
      <c r="P16" s="67"/>
      <c r="Q16" s="65"/>
      <c r="R16" s="65"/>
      <c r="S16" s="65"/>
      <c r="T16" s="65"/>
      <c r="U16" s="67"/>
      <c r="V16" s="65"/>
      <c r="W16" s="66"/>
      <c r="X16" s="66"/>
      <c r="Y16" s="67"/>
      <c r="Z16" s="65"/>
      <c r="AA16" s="66"/>
      <c r="AB16" s="66"/>
      <c r="AC16" s="67"/>
      <c r="AD16" s="65"/>
      <c r="AE16" s="66"/>
      <c r="AF16" s="66"/>
      <c r="AG16" s="66"/>
      <c r="AH16" s="67"/>
      <c r="AI16" s="106"/>
      <c r="AJ16" s="107"/>
      <c r="AK16" s="107"/>
      <c r="AL16" s="121"/>
      <c r="AM16" s="65"/>
      <c r="AN16" s="66"/>
      <c r="AO16" s="66"/>
      <c r="AP16" s="66"/>
      <c r="AQ16" s="67"/>
      <c r="AR16" s="65"/>
      <c r="AS16" s="66"/>
      <c r="AT16" s="66"/>
      <c r="AU16" s="67"/>
      <c r="AV16" s="65"/>
      <c r="AW16" s="66"/>
      <c r="AX16" s="66"/>
      <c r="AY16" s="67"/>
      <c r="AZ16" s="65"/>
      <c r="BA16" s="66"/>
      <c r="BB16" s="66"/>
      <c r="BC16" s="66"/>
      <c r="BD16" s="67"/>
      <c r="BE16" s="65"/>
      <c r="BF16" s="66"/>
      <c r="BG16" s="66"/>
      <c r="BH16" s="87"/>
      <c r="BI16" s="65"/>
      <c r="BJ16" s="66"/>
      <c r="BK16" s="66"/>
      <c r="BL16" s="87"/>
      <c r="BM16" s="65"/>
      <c r="BN16" s="66"/>
      <c r="BO16" s="66"/>
      <c r="BP16" s="87"/>
      <c r="BQ16" s="65"/>
      <c r="BR16" s="66"/>
      <c r="BS16" s="66"/>
      <c r="BT16" s="87"/>
    </row>
    <row r="17" spans="1:72">
      <c r="A17" s="71"/>
      <c r="B17" s="71" t="s">
        <v>215</v>
      </c>
      <c r="C17" s="221">
        <v>46230</v>
      </c>
      <c r="D17" s="221">
        <v>46293</v>
      </c>
      <c r="E17" s="221">
        <f>Table15[[#This Row],[End 1 (for calculation)]]+$E$5</f>
        <v>46297</v>
      </c>
      <c r="F17" s="234">
        <v>50</v>
      </c>
      <c r="G17" s="229">
        <v>0</v>
      </c>
      <c r="H17" s="71"/>
      <c r="I17" s="65"/>
      <c r="J17" s="66"/>
      <c r="K17" s="66"/>
      <c r="L17" s="67"/>
      <c r="M17" s="65"/>
      <c r="N17" s="66"/>
      <c r="O17" s="66"/>
      <c r="P17" s="67"/>
      <c r="Q17" s="65"/>
      <c r="R17" s="65"/>
      <c r="S17" s="65"/>
      <c r="T17" s="65"/>
      <c r="U17" s="67"/>
      <c r="V17" s="65"/>
      <c r="W17" s="66"/>
      <c r="X17" s="66"/>
      <c r="Y17" s="67"/>
      <c r="Z17" s="65"/>
      <c r="AA17" s="66"/>
      <c r="AB17" s="66"/>
      <c r="AC17" s="67"/>
      <c r="AD17" s="65"/>
      <c r="AE17" s="66"/>
      <c r="AF17" s="66"/>
      <c r="AG17" s="66"/>
      <c r="AH17" s="67"/>
      <c r="AI17" s="65"/>
      <c r="AJ17" s="66"/>
      <c r="AK17" s="66"/>
      <c r="AL17" s="113"/>
      <c r="AM17" s="106"/>
      <c r="AN17" s="107"/>
      <c r="AO17" s="107"/>
      <c r="AP17" s="107"/>
      <c r="AQ17" s="108"/>
      <c r="AR17" s="106"/>
      <c r="AS17" s="107"/>
      <c r="AT17" s="107"/>
      <c r="AU17" s="108"/>
      <c r="AV17" s="65"/>
      <c r="AW17" s="66"/>
      <c r="AX17" s="66"/>
      <c r="AY17" s="67"/>
      <c r="AZ17" s="65"/>
      <c r="BA17" s="66"/>
      <c r="BB17" s="66"/>
      <c r="BC17" s="66"/>
      <c r="BD17" s="67"/>
      <c r="BE17" s="65"/>
      <c r="BF17" s="66"/>
      <c r="BG17" s="66"/>
      <c r="BH17" s="87"/>
      <c r="BI17" s="65"/>
      <c r="BJ17" s="66"/>
      <c r="BK17" s="66"/>
      <c r="BL17" s="87"/>
      <c r="BM17" s="65"/>
      <c r="BN17" s="66"/>
      <c r="BO17" s="66"/>
      <c r="BP17" s="87"/>
      <c r="BQ17" s="65"/>
      <c r="BR17" s="66"/>
      <c r="BS17" s="66"/>
      <c r="BT17" s="87"/>
    </row>
    <row r="18" spans="1:72">
      <c r="A18" s="69"/>
      <c r="B18" s="152" t="s">
        <v>216</v>
      </c>
      <c r="C18" s="222">
        <v>46300</v>
      </c>
      <c r="D18" s="222">
        <v>46321</v>
      </c>
      <c r="E18" s="222">
        <f>Table15[[#This Row],[End 1 (for calculation)]]+$E$5</f>
        <v>46325</v>
      </c>
      <c r="F18" s="233">
        <v>20</v>
      </c>
      <c r="G18" s="229">
        <v>0</v>
      </c>
      <c r="H18" s="69"/>
      <c r="I18" s="65"/>
      <c r="J18" s="66"/>
      <c r="K18" s="66"/>
      <c r="L18" s="67"/>
      <c r="M18" s="65"/>
      <c r="N18" s="66"/>
      <c r="O18" s="66"/>
      <c r="P18" s="67"/>
      <c r="Q18" s="65"/>
      <c r="R18" s="65"/>
      <c r="S18" s="65"/>
      <c r="T18" s="65"/>
      <c r="U18" s="67"/>
      <c r="V18" s="65"/>
      <c r="W18" s="66"/>
      <c r="X18" s="66"/>
      <c r="Y18" s="67"/>
      <c r="Z18" s="65"/>
      <c r="AA18" s="66"/>
      <c r="AB18" s="66"/>
      <c r="AC18" s="67"/>
      <c r="AD18" s="65"/>
      <c r="AE18" s="66"/>
      <c r="AF18" s="66"/>
      <c r="AG18" s="66"/>
      <c r="AH18" s="67"/>
      <c r="AI18" s="65"/>
      <c r="AJ18" s="66"/>
      <c r="AK18" s="66"/>
      <c r="AL18" s="67"/>
      <c r="AM18" s="65"/>
      <c r="AN18" s="66"/>
      <c r="AO18" s="66"/>
      <c r="AP18" s="66"/>
      <c r="AQ18" s="67"/>
      <c r="AR18" s="65"/>
      <c r="AS18" s="66"/>
      <c r="AT18" s="66"/>
      <c r="AU18" s="67"/>
      <c r="AV18" s="106"/>
      <c r="AW18" s="107"/>
      <c r="AX18" s="107"/>
      <c r="AY18" s="150" t="s">
        <v>171</v>
      </c>
      <c r="AZ18" s="65"/>
      <c r="BA18" s="66"/>
      <c r="BB18" s="66"/>
      <c r="BC18" s="66"/>
      <c r="BD18" s="67"/>
      <c r="BE18" s="65"/>
      <c r="BF18" s="66"/>
      <c r="BG18" s="66"/>
      <c r="BH18" s="122"/>
      <c r="BI18" s="65"/>
      <c r="BJ18" s="66"/>
      <c r="BK18" s="66"/>
      <c r="BL18" s="122"/>
      <c r="BM18" s="65"/>
      <c r="BN18" s="66"/>
      <c r="BO18" s="66"/>
      <c r="BP18" s="122"/>
      <c r="BQ18" s="65"/>
      <c r="BR18" s="66"/>
      <c r="BS18" s="66"/>
      <c r="BT18" s="122"/>
    </row>
    <row r="19" spans="1:72">
      <c r="A19" s="71"/>
      <c r="B19" s="71" t="s">
        <v>174</v>
      </c>
      <c r="C19" s="221">
        <v>46328</v>
      </c>
      <c r="D19" s="221">
        <v>46342</v>
      </c>
      <c r="E19" s="221">
        <f>Table15[[#This Row],[End 1 (for calculation)]]+$E$5</f>
        <v>46346</v>
      </c>
      <c r="F19" s="234">
        <v>15</v>
      </c>
      <c r="G19" s="229">
        <v>0</v>
      </c>
      <c r="H19" s="71"/>
      <c r="I19" s="65"/>
      <c r="J19" s="66"/>
      <c r="K19" s="66"/>
      <c r="L19" s="67"/>
      <c r="M19" s="65"/>
      <c r="N19" s="66"/>
      <c r="O19" s="66"/>
      <c r="P19" s="67"/>
      <c r="Q19" s="65"/>
      <c r="R19" s="65"/>
      <c r="S19" s="65"/>
      <c r="T19" s="65"/>
      <c r="U19" s="67"/>
      <c r="V19" s="65"/>
      <c r="W19" s="66"/>
      <c r="X19" s="66"/>
      <c r="Y19" s="67"/>
      <c r="Z19" s="65"/>
      <c r="AA19" s="66"/>
      <c r="AB19" s="66"/>
      <c r="AC19" s="67"/>
      <c r="AD19" s="65"/>
      <c r="AE19" s="66"/>
      <c r="AF19" s="66"/>
      <c r="AG19" s="66"/>
      <c r="AH19" s="67"/>
      <c r="AI19" s="65"/>
      <c r="AJ19" s="66"/>
      <c r="AK19" s="66"/>
      <c r="AL19" s="67"/>
      <c r="AM19" s="65"/>
      <c r="AN19" s="66"/>
      <c r="AO19" s="66"/>
      <c r="AP19" s="66"/>
      <c r="AQ19" s="67"/>
      <c r="AR19" s="65"/>
      <c r="AS19" s="66"/>
      <c r="AT19" s="66"/>
      <c r="AU19" s="67"/>
      <c r="AV19" s="65"/>
      <c r="AW19" s="66"/>
      <c r="AX19" s="66"/>
      <c r="AY19" s="67"/>
      <c r="AZ19" s="106"/>
      <c r="BA19" s="107"/>
      <c r="BB19" s="107"/>
      <c r="BC19" s="66"/>
      <c r="BD19" s="67"/>
      <c r="BE19" s="65"/>
      <c r="BF19" s="66"/>
      <c r="BG19" s="66"/>
      <c r="BH19" s="122"/>
      <c r="BI19" s="65"/>
      <c r="BJ19" s="66"/>
      <c r="BK19" s="66"/>
      <c r="BL19" s="122"/>
      <c r="BM19" s="65"/>
      <c r="BN19" s="66"/>
      <c r="BO19" s="66"/>
      <c r="BP19" s="122"/>
      <c r="BQ19" s="65"/>
      <c r="BR19" s="66"/>
      <c r="BS19" s="66"/>
      <c r="BT19" s="122"/>
    </row>
    <row r="20" spans="1:72">
      <c r="A20" s="71"/>
      <c r="B20" s="153" t="s">
        <v>217</v>
      </c>
      <c r="C20" s="223">
        <v>46349</v>
      </c>
      <c r="D20" s="223">
        <v>46370</v>
      </c>
      <c r="E20" s="223">
        <f>Table15[[#This Row],[End 1 (for calculation)]]+$E$5</f>
        <v>46374</v>
      </c>
      <c r="F20" s="234">
        <v>20</v>
      </c>
      <c r="G20" s="229">
        <v>0</v>
      </c>
      <c r="H20" s="71"/>
      <c r="I20" s="65"/>
      <c r="J20" s="66"/>
      <c r="K20" s="66"/>
      <c r="L20" s="67"/>
      <c r="M20" s="65"/>
      <c r="N20" s="66"/>
      <c r="O20" s="66"/>
      <c r="P20" s="67"/>
      <c r="Q20" s="65"/>
      <c r="R20" s="65"/>
      <c r="S20" s="65"/>
      <c r="T20" s="65"/>
      <c r="U20" s="67"/>
      <c r="V20" s="65"/>
      <c r="W20" s="66"/>
      <c r="X20" s="66"/>
      <c r="Y20" s="67"/>
      <c r="Z20" s="65"/>
      <c r="AA20" s="66"/>
      <c r="AB20" s="66"/>
      <c r="AC20" s="67"/>
      <c r="AD20" s="65"/>
      <c r="AE20" s="66"/>
      <c r="AF20" s="66"/>
      <c r="AG20" s="66"/>
      <c r="AH20" s="67"/>
      <c r="AI20" s="65"/>
      <c r="AJ20" s="66"/>
      <c r="AK20" s="66"/>
      <c r="AL20" s="67"/>
      <c r="AM20" s="65"/>
      <c r="AN20" s="66"/>
      <c r="AO20" s="66"/>
      <c r="AP20" s="66"/>
      <c r="AQ20" s="67"/>
      <c r="AR20" s="65"/>
      <c r="AS20" s="66"/>
      <c r="AT20" s="66"/>
      <c r="AU20" s="67"/>
      <c r="AV20" s="65"/>
      <c r="AW20" s="66"/>
      <c r="AX20" s="66"/>
      <c r="AY20" s="67"/>
      <c r="AZ20" s="65"/>
      <c r="BA20" s="66"/>
      <c r="BB20" s="66"/>
      <c r="BC20" s="107"/>
      <c r="BD20" s="108"/>
      <c r="BE20" s="106"/>
      <c r="BF20" s="154" t="s">
        <v>171</v>
      </c>
      <c r="BG20" s="66"/>
      <c r="BH20" s="122"/>
      <c r="BI20" s="65"/>
      <c r="BJ20" s="159"/>
      <c r="BK20" s="66"/>
      <c r="BL20" s="122"/>
      <c r="BM20" s="65"/>
      <c r="BN20" s="159"/>
      <c r="BO20" s="66"/>
      <c r="BP20" s="122"/>
      <c r="BQ20" s="65"/>
      <c r="BR20" s="159"/>
      <c r="BS20" s="66"/>
      <c r="BT20" s="122"/>
    </row>
    <row r="21" spans="1:72">
      <c r="A21" s="71"/>
      <c r="B21" s="71" t="s">
        <v>218</v>
      </c>
      <c r="C21" s="221">
        <v>46377</v>
      </c>
      <c r="D21" s="221">
        <v>46384</v>
      </c>
      <c r="E21" s="221">
        <f>Table15[[#This Row],[End 1 (for calculation)]]+$E$5</f>
        <v>46388</v>
      </c>
      <c r="F21" s="234">
        <v>10</v>
      </c>
      <c r="G21" s="229">
        <v>0</v>
      </c>
      <c r="H21" s="71"/>
      <c r="I21" s="65"/>
      <c r="J21" s="66"/>
      <c r="K21" s="66"/>
      <c r="L21" s="67"/>
      <c r="M21" s="65"/>
      <c r="N21" s="66"/>
      <c r="O21" s="66"/>
      <c r="P21" s="67"/>
      <c r="Q21" s="65"/>
      <c r="R21" s="65"/>
      <c r="S21" s="65"/>
      <c r="T21" s="65"/>
      <c r="U21" s="67"/>
      <c r="V21" s="65"/>
      <c r="W21" s="66"/>
      <c r="X21" s="66"/>
      <c r="Y21" s="67"/>
      <c r="Z21" s="65"/>
      <c r="AA21" s="66"/>
      <c r="AB21" s="66"/>
      <c r="AC21" s="67"/>
      <c r="AD21" s="65"/>
      <c r="AE21" s="66"/>
      <c r="AF21" s="66"/>
      <c r="AG21" s="66"/>
      <c r="AH21" s="67"/>
      <c r="AI21" s="65"/>
      <c r="AJ21" s="66"/>
      <c r="AK21" s="66"/>
      <c r="AL21" s="67"/>
      <c r="AM21" s="65"/>
      <c r="AN21" s="66"/>
      <c r="AO21" s="66"/>
      <c r="AP21" s="66"/>
      <c r="AQ21" s="67"/>
      <c r="AR21" s="65"/>
      <c r="AS21" s="66"/>
      <c r="AT21" s="66"/>
      <c r="AU21" s="67"/>
      <c r="AV21" s="65"/>
      <c r="AW21" s="66"/>
      <c r="AX21" s="66"/>
      <c r="AY21" s="67"/>
      <c r="AZ21" s="65"/>
      <c r="BA21" s="66"/>
      <c r="BB21" s="66"/>
      <c r="BC21" s="66"/>
      <c r="BD21" s="67"/>
      <c r="BE21" s="65"/>
      <c r="BF21" s="66"/>
      <c r="BG21" s="107"/>
      <c r="BH21" s="114"/>
      <c r="BI21" s="65"/>
      <c r="BJ21" s="66"/>
      <c r="BK21" s="66"/>
      <c r="BL21" s="122"/>
      <c r="BM21" s="65"/>
      <c r="BN21" s="66"/>
      <c r="BO21" s="66"/>
      <c r="BP21" s="122"/>
      <c r="BQ21" s="65"/>
      <c r="BR21" s="66"/>
      <c r="BS21" s="66"/>
      <c r="BT21" s="122"/>
    </row>
    <row r="22" spans="1:72">
      <c r="A22" s="104" t="s">
        <v>219</v>
      </c>
      <c r="B22" s="157"/>
      <c r="C22" s="224"/>
      <c r="D22" s="224"/>
      <c r="E22" s="224"/>
      <c r="F22" s="226" t="s">
        <v>220</v>
      </c>
      <c r="G22" s="228"/>
      <c r="H22" s="105" t="s">
        <v>177</v>
      </c>
      <c r="I22" s="65"/>
      <c r="J22" s="66"/>
      <c r="K22" s="66"/>
      <c r="L22" s="67"/>
      <c r="M22" s="65"/>
      <c r="N22" s="66"/>
      <c r="O22" s="66"/>
      <c r="P22" s="67"/>
      <c r="Q22" s="65"/>
      <c r="R22" s="65"/>
      <c r="S22" s="65"/>
      <c r="T22" s="65"/>
      <c r="U22" s="67"/>
      <c r="V22" s="65"/>
      <c r="W22" s="66"/>
      <c r="X22" s="66"/>
      <c r="Y22" s="67"/>
      <c r="Z22" s="65"/>
      <c r="AA22" s="66"/>
      <c r="AB22" s="66"/>
      <c r="AC22" s="67"/>
      <c r="AD22" s="72"/>
      <c r="AE22" s="73"/>
      <c r="AF22" s="73"/>
      <c r="AG22" s="73"/>
      <c r="AH22" s="74"/>
      <c r="AI22" s="72"/>
      <c r="AJ22" s="73"/>
      <c r="AK22" s="73"/>
      <c r="AL22" s="74"/>
      <c r="AM22" s="72"/>
      <c r="AN22" s="73"/>
      <c r="AO22" s="66"/>
      <c r="AP22" s="66"/>
      <c r="AQ22" s="67"/>
      <c r="AR22" s="65"/>
      <c r="AS22" s="66"/>
      <c r="AT22" s="66"/>
      <c r="AU22" s="67"/>
      <c r="AV22" s="65"/>
      <c r="AW22" s="66"/>
      <c r="AX22" s="66"/>
      <c r="AY22" s="67"/>
      <c r="AZ22" s="65"/>
      <c r="BA22" s="66"/>
      <c r="BB22" s="66"/>
      <c r="BC22" s="66"/>
      <c r="BD22" s="67"/>
      <c r="BE22" s="65"/>
      <c r="BF22" s="66"/>
      <c r="BG22" s="73"/>
      <c r="BH22" s="75"/>
      <c r="BI22" s="65"/>
      <c r="BJ22" s="66"/>
      <c r="BK22" s="66"/>
      <c r="BL22" s="87"/>
      <c r="BM22" s="65"/>
      <c r="BN22" s="66"/>
      <c r="BO22" s="66"/>
      <c r="BP22" s="87"/>
      <c r="BQ22" s="65"/>
      <c r="BR22" s="66"/>
      <c r="BS22" s="66"/>
      <c r="BT22" s="87"/>
    </row>
    <row r="23" spans="1:72">
      <c r="A23" s="71"/>
      <c r="B23" s="71" t="s">
        <v>221</v>
      </c>
      <c r="C23" s="221">
        <v>46174</v>
      </c>
      <c r="D23" s="221">
        <v>46244</v>
      </c>
      <c r="E23" s="221">
        <f>Table15[[#This Row],[End 1 (for calculation)]]+$E$5</f>
        <v>46248</v>
      </c>
      <c r="F23" s="234">
        <v>55</v>
      </c>
      <c r="G23" s="229">
        <v>0</v>
      </c>
      <c r="H23" s="69"/>
      <c r="I23" s="65"/>
      <c r="J23" s="66"/>
      <c r="K23" s="66"/>
      <c r="L23" s="67"/>
      <c r="M23" s="65"/>
      <c r="N23" s="66"/>
      <c r="O23" s="66"/>
      <c r="P23" s="67"/>
      <c r="Q23" s="65"/>
      <c r="R23" s="65"/>
      <c r="S23" s="65"/>
      <c r="T23" s="65"/>
      <c r="U23" s="67"/>
      <c r="V23" s="65"/>
      <c r="W23" s="66"/>
      <c r="X23" s="66"/>
      <c r="Y23" s="67"/>
      <c r="Z23" s="65"/>
      <c r="AA23" s="66"/>
      <c r="AB23" s="66"/>
      <c r="AC23" s="67"/>
      <c r="AD23" s="106"/>
      <c r="AE23" s="107"/>
      <c r="AF23" s="107"/>
      <c r="AG23" s="107"/>
      <c r="AH23" s="108"/>
      <c r="AI23" s="106"/>
      <c r="AJ23" s="107"/>
      <c r="AK23" s="107"/>
      <c r="AL23" s="108"/>
      <c r="AM23" s="106"/>
      <c r="AN23" s="107"/>
      <c r="AO23" s="66"/>
      <c r="AP23" s="66"/>
      <c r="AQ23" s="67"/>
      <c r="AR23" s="65"/>
      <c r="AS23" s="66"/>
      <c r="AT23" s="66"/>
      <c r="AU23" s="67"/>
      <c r="AV23" s="65"/>
      <c r="AW23" s="66"/>
      <c r="AX23" s="66"/>
      <c r="AY23" s="67"/>
      <c r="AZ23" s="65"/>
      <c r="BA23" s="66"/>
      <c r="BB23" s="66"/>
      <c r="BC23" s="66"/>
      <c r="BD23" s="67"/>
      <c r="BE23" s="65"/>
      <c r="BF23" s="66"/>
      <c r="BG23" s="66"/>
      <c r="BH23" s="87"/>
      <c r="BI23" s="65"/>
      <c r="BJ23" s="66"/>
      <c r="BK23" s="66"/>
      <c r="BL23" s="87"/>
      <c r="BM23" s="65"/>
      <c r="BN23" s="66"/>
      <c r="BO23" s="66"/>
      <c r="BP23" s="87"/>
      <c r="BQ23" s="65"/>
      <c r="BR23" s="66"/>
      <c r="BS23" s="66"/>
      <c r="BT23" s="87"/>
    </row>
    <row r="24" spans="1:72">
      <c r="A24" s="71"/>
      <c r="B24" s="71" t="s">
        <v>181</v>
      </c>
      <c r="C24" s="221">
        <v>46377</v>
      </c>
      <c r="D24" s="221">
        <v>46384</v>
      </c>
      <c r="E24" s="221">
        <f>Table15[[#This Row],[End 1 (for calculation)]]+$E$5</f>
        <v>46388</v>
      </c>
      <c r="F24" s="234">
        <v>10</v>
      </c>
      <c r="G24" s="229">
        <v>0</v>
      </c>
      <c r="H24" s="69"/>
      <c r="I24" s="65"/>
      <c r="J24" s="66"/>
      <c r="K24" s="66"/>
      <c r="L24" s="67"/>
      <c r="M24" s="65"/>
      <c r="N24" s="66"/>
      <c r="O24" s="66"/>
      <c r="P24" s="67"/>
      <c r="Q24" s="65"/>
      <c r="R24" s="65"/>
      <c r="S24" s="65"/>
      <c r="T24" s="65"/>
      <c r="U24" s="67"/>
      <c r="V24" s="65"/>
      <c r="W24" s="66"/>
      <c r="X24" s="66"/>
      <c r="Y24" s="67"/>
      <c r="Z24" s="65"/>
      <c r="AA24" s="66"/>
      <c r="AB24" s="66"/>
      <c r="AC24" s="67"/>
      <c r="AD24" s="65"/>
      <c r="AE24" s="66"/>
      <c r="AF24" s="66"/>
      <c r="AG24" s="66"/>
      <c r="AH24" s="67"/>
      <c r="AI24" s="65"/>
      <c r="AJ24" s="66"/>
      <c r="AK24" s="66"/>
      <c r="AL24" s="67"/>
      <c r="AM24" s="65"/>
      <c r="AN24" s="66"/>
      <c r="AO24" s="66"/>
      <c r="AP24" s="66"/>
      <c r="AQ24" s="67"/>
      <c r="AR24" s="65"/>
      <c r="AS24" s="66"/>
      <c r="AT24" s="66"/>
      <c r="AU24" s="67"/>
      <c r="AV24" s="65"/>
      <c r="AW24" s="66"/>
      <c r="AX24" s="66"/>
      <c r="AY24" s="67"/>
      <c r="AZ24" s="65"/>
      <c r="BA24" s="66"/>
      <c r="BB24" s="66"/>
      <c r="BC24" s="66"/>
      <c r="BD24" s="67"/>
      <c r="BE24" s="65"/>
      <c r="BF24" s="66"/>
      <c r="BG24" s="107"/>
      <c r="BH24" s="151" t="s">
        <v>171</v>
      </c>
      <c r="BI24" s="65"/>
      <c r="BJ24" s="66"/>
      <c r="BK24" s="66"/>
      <c r="BL24" s="158"/>
      <c r="BM24" s="65"/>
      <c r="BN24" s="66"/>
      <c r="BO24" s="66"/>
      <c r="BP24" s="158"/>
      <c r="BQ24" s="65"/>
      <c r="BR24" s="66"/>
      <c r="BS24" s="66"/>
      <c r="BT24" s="158"/>
    </row>
    <row r="25" spans="1:72">
      <c r="A25" s="104" t="s">
        <v>222</v>
      </c>
      <c r="B25" s="157"/>
      <c r="C25" s="224"/>
      <c r="D25" s="224"/>
      <c r="E25" s="224"/>
      <c r="F25" s="226" t="s">
        <v>162</v>
      </c>
      <c r="G25" s="228"/>
      <c r="H25" s="105" t="s">
        <v>223</v>
      </c>
      <c r="I25" s="65"/>
      <c r="J25" s="66"/>
      <c r="K25" s="66"/>
      <c r="L25" s="67"/>
      <c r="M25" s="65"/>
      <c r="N25" s="66"/>
      <c r="O25" s="66"/>
      <c r="P25" s="67"/>
      <c r="Q25" s="65"/>
      <c r="R25" s="65"/>
      <c r="S25" s="65"/>
      <c r="T25" s="65"/>
      <c r="U25" s="67"/>
      <c r="V25" s="65"/>
      <c r="W25" s="66"/>
      <c r="X25" s="66"/>
      <c r="Y25" s="67"/>
      <c r="Z25" s="65"/>
      <c r="AA25" s="66"/>
      <c r="AB25" s="66"/>
      <c r="AC25" s="67"/>
      <c r="AD25" s="65"/>
      <c r="AE25" s="66"/>
      <c r="AF25" s="66"/>
      <c r="AG25" s="66"/>
      <c r="AH25" s="67"/>
      <c r="AI25" s="65"/>
      <c r="AJ25" s="66"/>
      <c r="AK25" s="66"/>
      <c r="AL25" s="67"/>
      <c r="AM25" s="65"/>
      <c r="AN25" s="66"/>
      <c r="AO25" s="66"/>
      <c r="AP25" s="66"/>
      <c r="AQ25" s="67"/>
      <c r="AR25" s="65"/>
      <c r="AS25" s="66"/>
      <c r="AT25" s="66"/>
      <c r="AU25" s="67"/>
      <c r="AV25" s="65"/>
      <c r="AW25" s="66"/>
      <c r="AX25" s="66"/>
      <c r="AY25" s="67"/>
      <c r="AZ25" s="65"/>
      <c r="BA25" s="66"/>
      <c r="BB25" s="66"/>
      <c r="BC25" s="66"/>
      <c r="BD25" s="67"/>
      <c r="BE25" s="65"/>
      <c r="BF25" s="66"/>
      <c r="BG25" s="66"/>
      <c r="BH25" s="87"/>
      <c r="BI25" s="160"/>
      <c r="BJ25" s="161"/>
      <c r="BK25" s="161"/>
      <c r="BL25" s="162"/>
      <c r="BM25" s="160"/>
      <c r="BN25" s="161"/>
      <c r="BO25" s="161"/>
      <c r="BP25" s="162"/>
      <c r="BQ25" s="160"/>
      <c r="BR25" s="161"/>
      <c r="BS25" s="161"/>
      <c r="BT25" s="162"/>
    </row>
    <row r="26" spans="1:72">
      <c r="A26" s="71"/>
      <c r="B26" s="71" t="s">
        <v>224</v>
      </c>
      <c r="C26" s="221">
        <v>46026</v>
      </c>
      <c r="D26" s="221">
        <v>46102</v>
      </c>
      <c r="E26" s="221">
        <f>Table15[[#This Row],[End 1 (for calculation)]]+$E$5</f>
        <v>46106</v>
      </c>
      <c r="F26" s="234">
        <v>60</v>
      </c>
      <c r="G26" s="229">
        <v>0</v>
      </c>
      <c r="H26" s="69"/>
      <c r="I26" s="65"/>
      <c r="J26" s="66"/>
      <c r="K26" s="66"/>
      <c r="L26" s="67"/>
      <c r="M26" s="65"/>
      <c r="N26" s="66"/>
      <c r="O26" s="66"/>
      <c r="P26" s="67"/>
      <c r="Q26" s="65"/>
      <c r="R26" s="65"/>
      <c r="S26" s="65"/>
      <c r="T26" s="65"/>
      <c r="U26" s="67"/>
      <c r="V26" s="65"/>
      <c r="W26" s="66"/>
      <c r="X26" s="66"/>
      <c r="Y26" s="67"/>
      <c r="Z26" s="65"/>
      <c r="AA26" s="66"/>
      <c r="AB26" s="66"/>
      <c r="AC26" s="67"/>
      <c r="AD26" s="65"/>
      <c r="AE26" s="66"/>
      <c r="AF26" s="66"/>
      <c r="AG26" s="66"/>
      <c r="AH26" s="67"/>
      <c r="AI26" s="65"/>
      <c r="AJ26" s="66"/>
      <c r="AK26" s="66"/>
      <c r="AL26" s="67"/>
      <c r="AM26" s="65"/>
      <c r="AN26" s="66"/>
      <c r="AO26" s="66"/>
      <c r="AP26" s="66"/>
      <c r="AQ26" s="67"/>
      <c r="AR26" s="65"/>
      <c r="AS26" s="66"/>
      <c r="AT26" s="66"/>
      <c r="AU26" s="67"/>
      <c r="AV26" s="65"/>
      <c r="AW26" s="66"/>
      <c r="AX26" s="66"/>
      <c r="AY26" s="67"/>
      <c r="AZ26" s="65"/>
      <c r="BA26" s="66"/>
      <c r="BB26" s="66"/>
      <c r="BC26" s="66"/>
      <c r="BD26" s="67"/>
      <c r="BE26" s="65"/>
      <c r="BF26" s="66"/>
      <c r="BG26" s="66"/>
      <c r="BH26" s="87"/>
      <c r="BI26" s="163"/>
      <c r="BJ26" s="164"/>
      <c r="BK26" s="164"/>
      <c r="BL26" s="165"/>
      <c r="BM26" s="163"/>
      <c r="BN26" s="164"/>
      <c r="BO26" s="164"/>
      <c r="BP26" s="165"/>
      <c r="BQ26" s="163"/>
      <c r="BR26" s="164"/>
      <c r="BS26" s="164"/>
      <c r="BT26" s="165"/>
    </row>
    <row r="27" spans="1:72">
      <c r="A27" s="86"/>
      <c r="B27" s="86"/>
      <c r="C27" s="86"/>
      <c r="D27" s="86"/>
      <c r="E27" s="86"/>
      <c r="F27" s="86"/>
      <c r="G27" s="86"/>
      <c r="H27" s="86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9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9"/>
    </row>
    <row r="28" spans="1:72">
      <c r="A28" s="86"/>
      <c r="B28" s="86"/>
      <c r="C28" s="86"/>
      <c r="D28" s="86"/>
      <c r="E28" s="86"/>
      <c r="F28" s="86"/>
      <c r="G28" s="86"/>
      <c r="H28" s="86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9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88"/>
      <c r="BG28" s="88"/>
      <c r="BH28" s="89"/>
    </row>
    <row r="29" spans="1:72" ht="24">
      <c r="A29" s="86"/>
      <c r="B29" s="86"/>
      <c r="C29" s="86"/>
      <c r="D29" s="86"/>
      <c r="E29" s="86"/>
      <c r="F29" s="86"/>
      <c r="G29" s="86"/>
      <c r="H29" s="86"/>
      <c r="I29" s="181" t="s">
        <v>226</v>
      </c>
      <c r="J29" s="182"/>
      <c r="K29" s="182"/>
      <c r="L29" s="182"/>
      <c r="M29" s="182"/>
      <c r="N29" s="232" t="s">
        <v>227</v>
      </c>
      <c r="V29" s="237" t="s">
        <v>228</v>
      </c>
      <c r="W29" s="237"/>
      <c r="X29" s="237"/>
      <c r="Y29" s="237"/>
      <c r="Z29" s="237"/>
      <c r="AJ29" s="88"/>
      <c r="AK29" s="88"/>
      <c r="AL29" s="89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9"/>
    </row>
    <row r="30" spans="1:72">
      <c r="A30" s="86"/>
      <c r="B30" s="86"/>
      <c r="C30" s="86"/>
      <c r="D30" s="86"/>
      <c r="E30" s="86"/>
      <c r="F30" s="86"/>
      <c r="G30" s="86"/>
      <c r="H30" s="86"/>
      <c r="I30" s="189" t="s">
        <v>230</v>
      </c>
      <c r="J30" s="183" t="s">
        <v>231</v>
      </c>
      <c r="K30" s="184"/>
      <c r="L30" s="184"/>
      <c r="M30" s="184"/>
      <c r="N30" s="184"/>
      <c r="O30" s="184"/>
      <c r="P30" s="184"/>
      <c r="Q30" s="184"/>
      <c r="R30" s="184"/>
      <c r="S30" s="184"/>
      <c r="T30" s="185"/>
      <c r="V30" s="194" t="s">
        <v>232</v>
      </c>
      <c r="W30" s="194" t="s">
        <v>233</v>
      </c>
      <c r="X30" s="195"/>
      <c r="Y30" s="195"/>
      <c r="Z30" s="195"/>
      <c r="AA30" s="195"/>
      <c r="AB30" s="294" t="s">
        <v>234</v>
      </c>
      <c r="AC30" s="295"/>
      <c r="AD30" s="296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9"/>
    </row>
    <row r="31" spans="1:72">
      <c r="A31" s="86"/>
      <c r="B31" s="86"/>
      <c r="C31" s="86"/>
      <c r="D31" s="86"/>
      <c r="E31" s="86"/>
      <c r="F31" s="86"/>
      <c r="G31" s="86"/>
      <c r="H31" s="86"/>
      <c r="I31" s="189" t="s">
        <v>235</v>
      </c>
      <c r="J31" s="189" t="s">
        <v>236</v>
      </c>
      <c r="K31" s="190"/>
      <c r="L31" s="190"/>
      <c r="M31" s="190"/>
      <c r="N31" s="190"/>
      <c r="O31" s="190"/>
      <c r="P31" s="190"/>
      <c r="Q31" s="190"/>
      <c r="R31" s="190"/>
      <c r="S31" s="190"/>
      <c r="T31" s="191"/>
      <c r="V31" s="192" t="s">
        <v>237</v>
      </c>
      <c r="W31" s="183" t="s">
        <v>238</v>
      </c>
      <c r="X31" s="184"/>
      <c r="Y31" s="184"/>
      <c r="AB31" s="297" t="s">
        <v>238</v>
      </c>
      <c r="AC31" s="298"/>
      <c r="AD31" s="299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9"/>
    </row>
    <row r="32" spans="1:72">
      <c r="A32" s="86"/>
      <c r="B32" s="86"/>
      <c r="C32" s="86"/>
      <c r="D32" s="86"/>
      <c r="E32" s="86"/>
      <c r="F32" s="86"/>
      <c r="G32" s="86"/>
      <c r="H32" s="86"/>
      <c r="I32" s="208" t="s">
        <v>239</v>
      </c>
      <c r="J32" s="208"/>
      <c r="K32" s="208"/>
      <c r="L32" s="208"/>
      <c r="V32" s="186" t="s">
        <v>240</v>
      </c>
      <c r="W32" s="202" t="s">
        <v>241</v>
      </c>
      <c r="X32" s="203"/>
      <c r="Y32" s="203"/>
      <c r="Z32" s="203"/>
      <c r="AA32" s="204"/>
      <c r="AB32" s="291" t="s">
        <v>241</v>
      </c>
      <c r="AC32" s="292"/>
      <c r="AD32" s="293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9"/>
    </row>
    <row r="33" spans="1:60">
      <c r="A33" s="86"/>
      <c r="B33" s="86"/>
      <c r="C33" s="86"/>
      <c r="D33" s="86"/>
      <c r="E33" s="86"/>
      <c r="F33" s="86"/>
      <c r="G33" s="86"/>
      <c r="H33" s="86"/>
      <c r="AA33" s="20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9"/>
    </row>
    <row r="34" spans="1:60" ht="24">
      <c r="A34" s="86"/>
      <c r="B34" s="86"/>
      <c r="C34" s="86"/>
      <c r="D34" s="86"/>
      <c r="E34" s="86"/>
      <c r="F34" s="86"/>
      <c r="G34" s="86"/>
      <c r="H34" s="86"/>
      <c r="I34" s="181" t="s">
        <v>242</v>
      </c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  <c r="BH34" s="89"/>
    </row>
    <row r="35" spans="1:60">
      <c r="A35" s="86"/>
      <c r="B35" s="86"/>
      <c r="C35" s="86"/>
      <c r="D35" s="86"/>
      <c r="E35" s="86"/>
      <c r="F35" s="86"/>
      <c r="G35" s="86"/>
      <c r="H35" s="86"/>
      <c r="I35" s="194" t="s">
        <v>243</v>
      </c>
      <c r="J35" s="194" t="s">
        <v>244</v>
      </c>
      <c r="K35" s="195"/>
      <c r="L35" s="195"/>
      <c r="M35" s="190"/>
      <c r="N35" s="194" t="s">
        <v>245</v>
      </c>
      <c r="O35" s="190"/>
      <c r="P35" s="190"/>
      <c r="Q35" s="191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9"/>
    </row>
    <row r="36" spans="1:60">
      <c r="A36" s="86"/>
      <c r="B36" s="86"/>
      <c r="C36" s="86"/>
      <c r="D36" s="86"/>
      <c r="E36" s="86"/>
      <c r="F36" s="86"/>
      <c r="G36" s="86"/>
      <c r="H36" s="86"/>
      <c r="I36" s="192" t="s">
        <v>246</v>
      </c>
      <c r="J36" s="196" t="s">
        <v>247</v>
      </c>
      <c r="K36" s="197"/>
      <c r="L36" s="197"/>
      <c r="M36" s="198"/>
      <c r="N36" s="192" t="s">
        <v>248</v>
      </c>
      <c r="Q36" s="193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9"/>
    </row>
    <row r="37" spans="1:60">
      <c r="A37" s="86"/>
      <c r="B37" s="86"/>
      <c r="C37" s="86"/>
      <c r="D37" s="86"/>
      <c r="E37" s="86"/>
      <c r="F37" s="86"/>
      <c r="G37" s="86"/>
      <c r="H37" s="86"/>
      <c r="I37" s="192" t="s">
        <v>249</v>
      </c>
      <c r="J37" s="199" t="s">
        <v>250</v>
      </c>
      <c r="K37" s="200"/>
      <c r="L37" s="200"/>
      <c r="M37" s="201"/>
      <c r="N37" s="192" t="s">
        <v>251</v>
      </c>
      <c r="Q37" s="193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9"/>
    </row>
    <row r="38" spans="1:60">
      <c r="A38" s="86"/>
      <c r="B38" s="86"/>
      <c r="C38" s="86"/>
      <c r="D38" s="86"/>
      <c r="E38" s="86"/>
      <c r="F38" s="86"/>
      <c r="G38" s="86"/>
      <c r="H38" s="86"/>
      <c r="I38" s="186" t="s">
        <v>252</v>
      </c>
      <c r="J38" s="202" t="s">
        <v>253</v>
      </c>
      <c r="K38" s="203"/>
      <c r="L38" s="203"/>
      <c r="M38" s="204"/>
      <c r="N38" s="186" t="s">
        <v>254</v>
      </c>
      <c r="O38" s="187"/>
      <c r="P38" s="187"/>
      <c r="Q38" s="1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9"/>
    </row>
    <row r="39" spans="1:60">
      <c r="A39" s="86"/>
      <c r="B39" s="86"/>
      <c r="C39" s="86"/>
      <c r="D39" s="86"/>
      <c r="E39" s="86"/>
      <c r="F39" s="86"/>
      <c r="G39" s="86"/>
      <c r="H39" s="86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9"/>
      <c r="AG39" s="88"/>
      <c r="AH39" s="88"/>
      <c r="AI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  <c r="BH39" s="89"/>
    </row>
    <row r="40" spans="1:60">
      <c r="A40" s="86"/>
      <c r="B40" s="86"/>
      <c r="C40" s="86"/>
      <c r="D40" s="86"/>
      <c r="E40" s="86"/>
      <c r="F40" s="86"/>
      <c r="G40" s="86"/>
      <c r="H40" s="86"/>
      <c r="I40" s="88"/>
      <c r="J40" s="88"/>
      <c r="K40" s="88"/>
      <c r="L40" s="88"/>
      <c r="M40" s="88"/>
      <c r="N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  <c r="BE40" s="88"/>
      <c r="BF40" s="88"/>
      <c r="BG40" s="88"/>
      <c r="BH40" s="89"/>
    </row>
    <row r="41" spans="1:60" ht="24">
      <c r="A41" s="86"/>
      <c r="B41" s="86"/>
      <c r="C41" s="86"/>
      <c r="D41" s="86"/>
      <c r="E41" s="86"/>
      <c r="F41" s="86"/>
      <c r="G41" s="86"/>
      <c r="H41" s="238"/>
      <c r="I41" s="239" t="s">
        <v>255</v>
      </c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0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9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9"/>
    </row>
    <row r="42" spans="1:60">
      <c r="A42" s="86"/>
      <c r="B42" s="86"/>
      <c r="C42" s="86"/>
      <c r="D42" s="86"/>
      <c r="E42" s="86"/>
      <c r="F42" s="86"/>
      <c r="G42" s="86"/>
      <c r="H42" s="241"/>
      <c r="I42" s="242" t="s">
        <v>256</v>
      </c>
      <c r="J42" s="250" t="s">
        <v>257</v>
      </c>
      <c r="K42" s="243"/>
      <c r="L42" s="243"/>
      <c r="M42" s="243"/>
      <c r="N42" s="243"/>
      <c r="O42" s="243"/>
      <c r="P42" s="243"/>
      <c r="Q42" s="244"/>
      <c r="R42" s="240"/>
      <c r="S42" s="240"/>
      <c r="T42" s="240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9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9"/>
    </row>
    <row r="43" spans="1:60">
      <c r="A43" s="86"/>
      <c r="B43" s="86"/>
      <c r="C43" s="86"/>
      <c r="D43" s="86"/>
      <c r="E43" s="86"/>
      <c r="F43" s="86"/>
      <c r="G43" s="86"/>
      <c r="H43" s="238"/>
      <c r="I43" s="242" t="s">
        <v>258</v>
      </c>
      <c r="J43" s="251" t="s">
        <v>259</v>
      </c>
      <c r="K43" s="245"/>
      <c r="L43" s="245"/>
      <c r="M43" s="245"/>
      <c r="N43" s="245"/>
      <c r="O43" s="245"/>
      <c r="P43" s="245"/>
      <c r="Q43" s="246"/>
      <c r="R43" s="240"/>
      <c r="S43" s="240"/>
      <c r="T43" s="240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9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9"/>
    </row>
    <row r="44" spans="1:60">
      <c r="A44" s="86"/>
      <c r="B44" s="86"/>
      <c r="C44" s="86"/>
      <c r="D44" s="86"/>
      <c r="E44" s="86"/>
      <c r="F44" s="86"/>
      <c r="G44" s="86"/>
      <c r="H44" s="238"/>
      <c r="I44" s="240"/>
      <c r="J44" s="240"/>
      <c r="K44" s="240"/>
      <c r="L44" s="240"/>
      <c r="M44" s="240"/>
      <c r="N44" s="240"/>
      <c r="O44" s="240"/>
      <c r="P44" s="240"/>
      <c r="Q44" s="240"/>
      <c r="R44" s="240"/>
      <c r="S44" s="240"/>
      <c r="T44" s="240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9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8"/>
      <c r="BH44" s="89"/>
    </row>
    <row r="45" spans="1:60" ht="24">
      <c r="A45" s="86"/>
      <c r="B45" s="86"/>
      <c r="C45" s="86"/>
      <c r="D45" s="86"/>
      <c r="E45" s="86"/>
      <c r="F45" s="86"/>
      <c r="G45" s="86"/>
      <c r="H45" s="238"/>
      <c r="I45" s="239" t="s">
        <v>260</v>
      </c>
      <c r="J45" s="240"/>
      <c r="K45" s="240"/>
      <c r="L45" s="240"/>
      <c r="M45" s="240"/>
      <c r="N45" s="240"/>
      <c r="O45" s="240"/>
      <c r="P45" s="240"/>
      <c r="Q45" s="240"/>
      <c r="R45" s="240"/>
      <c r="S45" s="240"/>
      <c r="T45" s="240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9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  <c r="BH45" s="89"/>
    </row>
    <row r="46" spans="1:60">
      <c r="A46" s="86"/>
      <c r="B46" s="86"/>
      <c r="C46" s="86"/>
      <c r="D46" s="86"/>
      <c r="E46" s="86"/>
      <c r="F46" s="86"/>
      <c r="G46" s="86"/>
      <c r="H46" s="238"/>
      <c r="I46" s="242" t="s">
        <v>256</v>
      </c>
      <c r="J46" s="250" t="s">
        <v>257</v>
      </c>
      <c r="K46" s="243"/>
      <c r="L46" s="243"/>
      <c r="M46" s="243"/>
      <c r="N46" s="243"/>
      <c r="O46" s="243"/>
      <c r="P46" s="243"/>
      <c r="Q46" s="244"/>
      <c r="R46" s="240"/>
      <c r="S46" s="240"/>
      <c r="T46" s="240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9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8"/>
      <c r="BH46" s="89"/>
    </row>
    <row r="47" spans="1:60">
      <c r="A47" s="86"/>
      <c r="B47" s="86"/>
      <c r="C47" s="86"/>
      <c r="D47" s="86"/>
      <c r="E47" s="86"/>
      <c r="F47" s="86"/>
      <c r="G47" s="86"/>
      <c r="H47" s="238"/>
      <c r="I47" s="242" t="s">
        <v>258</v>
      </c>
      <c r="J47" s="251" t="s">
        <v>259</v>
      </c>
      <c r="K47" s="245"/>
      <c r="L47" s="245"/>
      <c r="M47" s="245"/>
      <c r="N47" s="245"/>
      <c r="O47" s="245"/>
      <c r="P47" s="245"/>
      <c r="Q47" s="246"/>
      <c r="R47" s="240"/>
      <c r="S47" s="240"/>
      <c r="T47" s="240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9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8"/>
      <c r="BD47" s="88"/>
      <c r="BE47" s="88"/>
      <c r="BF47" s="88"/>
      <c r="BG47" s="88"/>
      <c r="BH47" s="89"/>
    </row>
    <row r="48" spans="1:60">
      <c r="A48" s="86"/>
      <c r="B48" s="86"/>
      <c r="C48" s="86"/>
      <c r="D48" s="86"/>
      <c r="E48" s="86"/>
      <c r="F48" s="86"/>
      <c r="G48" s="86"/>
      <c r="H48" s="238"/>
      <c r="I48" s="240"/>
      <c r="J48" s="240"/>
      <c r="K48" s="240"/>
      <c r="L48" s="240"/>
      <c r="M48" s="240"/>
      <c r="N48" s="240"/>
      <c r="O48" s="240"/>
      <c r="P48" s="240"/>
      <c r="Q48" s="240"/>
      <c r="R48" s="240"/>
      <c r="S48" s="240"/>
      <c r="T48" s="240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9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88"/>
      <c r="BC48" s="88"/>
      <c r="BD48" s="88"/>
      <c r="BE48" s="88"/>
      <c r="BF48" s="88"/>
      <c r="BG48" s="88"/>
      <c r="BH48" s="89"/>
    </row>
    <row r="49" spans="1:60" ht="24">
      <c r="A49" s="86"/>
      <c r="B49" s="86"/>
      <c r="C49" s="86"/>
      <c r="D49" s="86"/>
      <c r="E49" s="86"/>
      <c r="F49" s="86"/>
      <c r="G49" s="86"/>
      <c r="H49" s="238"/>
      <c r="I49" s="239" t="s">
        <v>261</v>
      </c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9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88"/>
      <c r="BD49" s="88"/>
      <c r="BE49" s="88"/>
      <c r="BF49" s="88"/>
      <c r="BG49" s="88"/>
      <c r="BH49" s="89"/>
    </row>
    <row r="50" spans="1:60">
      <c r="A50" s="86"/>
      <c r="B50" s="86"/>
      <c r="C50" s="86"/>
      <c r="D50" s="86"/>
      <c r="E50" s="86"/>
      <c r="F50" s="86"/>
      <c r="G50" s="86"/>
      <c r="H50" s="238"/>
      <c r="I50" s="242" t="s">
        <v>256</v>
      </c>
      <c r="J50" s="250" t="s">
        <v>257</v>
      </c>
      <c r="K50" s="243"/>
      <c r="L50" s="243"/>
      <c r="M50" s="243"/>
      <c r="N50" s="243"/>
      <c r="O50" s="243"/>
      <c r="P50" s="243"/>
      <c r="Q50" s="244"/>
      <c r="R50" s="240"/>
      <c r="S50" s="240"/>
      <c r="T50" s="240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9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9"/>
    </row>
    <row r="51" spans="1:60">
      <c r="A51" s="86"/>
      <c r="B51" s="86"/>
      <c r="C51" s="86"/>
      <c r="D51" s="86"/>
      <c r="E51" s="86"/>
      <c r="F51" s="86"/>
      <c r="G51" s="86"/>
      <c r="H51" s="238"/>
      <c r="I51" s="242" t="s">
        <v>258</v>
      </c>
      <c r="J51" s="251" t="s">
        <v>259</v>
      </c>
      <c r="K51" s="245"/>
      <c r="L51" s="245"/>
      <c r="M51" s="245"/>
      <c r="N51" s="245"/>
      <c r="O51" s="245"/>
      <c r="P51" s="245"/>
      <c r="Q51" s="246"/>
      <c r="R51" s="240"/>
      <c r="S51" s="240"/>
      <c r="T51" s="240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9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88"/>
      <c r="BD51" s="88"/>
      <c r="BE51" s="88"/>
      <c r="BF51" s="88"/>
      <c r="BG51" s="88"/>
      <c r="BH51" s="89"/>
    </row>
    <row r="52" spans="1:60">
      <c r="A52" s="86"/>
      <c r="B52" s="86"/>
      <c r="C52" s="86"/>
      <c r="D52" s="86"/>
      <c r="E52" s="86"/>
      <c r="F52" s="86"/>
      <c r="G52" s="86"/>
      <c r="H52" s="238"/>
      <c r="I52" s="240"/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9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  <c r="BH52" s="89"/>
    </row>
    <row r="53" spans="1:60">
      <c r="A53" s="86"/>
      <c r="B53" s="86"/>
      <c r="C53" s="86"/>
      <c r="D53" s="86"/>
      <c r="E53" s="86"/>
      <c r="F53" s="86"/>
      <c r="G53" s="86"/>
      <c r="H53" s="238"/>
      <c r="I53" s="247" t="s">
        <v>262</v>
      </c>
      <c r="J53" s="240"/>
      <c r="K53" s="240"/>
      <c r="L53" s="240"/>
      <c r="M53" s="240"/>
      <c r="N53" s="240"/>
      <c r="O53" s="240"/>
      <c r="P53" s="240"/>
      <c r="Q53" s="240"/>
      <c r="R53" s="240"/>
      <c r="S53" s="240"/>
      <c r="T53" s="240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9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  <c r="BD53" s="88"/>
      <c r="BE53" s="88"/>
      <c r="BF53" s="88"/>
      <c r="BG53" s="88"/>
      <c r="BH53" s="89"/>
    </row>
    <row r="54" spans="1:60">
      <c r="I54" s="111"/>
    </row>
    <row r="55" spans="1:60" ht="21.95">
      <c r="A55" s="133" t="s">
        <v>188</v>
      </c>
    </row>
    <row r="56" spans="1:60" ht="21.95">
      <c r="A56" s="134" t="s">
        <v>194</v>
      </c>
      <c r="G56" s="111"/>
    </row>
    <row r="57" spans="1:60">
      <c r="G57" s="111"/>
    </row>
    <row r="58" spans="1:60" ht="24">
      <c r="A58" s="120" t="s">
        <v>199</v>
      </c>
      <c r="G58" s="111"/>
    </row>
    <row r="59" spans="1:60">
      <c r="A59" s="111"/>
      <c r="G59" s="111"/>
    </row>
    <row r="60" spans="1:60"/>
    <row r="61" spans="1:60"/>
    <row r="62" spans="1:60"/>
    <row r="63" spans="1:60"/>
    <row r="64" spans="1:60"/>
    <row r="65"/>
    <row r="66"/>
    <row r="67"/>
    <row r="68"/>
    <row r="69"/>
    <row r="107" spans="11:24">
      <c r="K107" s="205" t="s">
        <v>263</v>
      </c>
      <c r="L107" s="206"/>
      <c r="M107" s="206"/>
      <c r="N107" s="206"/>
      <c r="O107" s="206"/>
      <c r="P107" s="206"/>
      <c r="Q107" s="206"/>
      <c r="R107" s="206"/>
      <c r="S107" s="206"/>
      <c r="T107" s="206"/>
      <c r="U107" s="206"/>
      <c r="V107" s="206"/>
      <c r="W107" s="206"/>
      <c r="X107" s="206"/>
    </row>
    <row r="108" spans="11:24">
      <c r="K108" s="207" t="s">
        <v>264</v>
      </c>
      <c r="L108" s="206"/>
      <c r="M108" s="206"/>
      <c r="N108" s="206"/>
      <c r="O108" s="206"/>
      <c r="P108" s="206"/>
      <c r="Q108" s="206"/>
      <c r="R108" s="206"/>
      <c r="S108" s="206"/>
      <c r="T108" s="206"/>
      <c r="U108" s="206"/>
      <c r="V108" s="206"/>
      <c r="W108" s="206"/>
      <c r="X108" s="206"/>
    </row>
    <row r="109" spans="11:24">
      <c r="K109" s="206" t="s">
        <v>265</v>
      </c>
      <c r="L109" s="206"/>
      <c r="M109" s="206"/>
      <c r="N109" s="206" t="s">
        <v>266</v>
      </c>
      <c r="O109" s="206"/>
      <c r="P109" s="206"/>
      <c r="Q109" s="206"/>
      <c r="R109" s="206"/>
      <c r="S109" s="206"/>
      <c r="T109" s="206"/>
      <c r="U109" s="206"/>
      <c r="V109" s="206"/>
      <c r="W109" s="206"/>
      <c r="X109" s="206"/>
    </row>
    <row r="110" spans="11:24">
      <c r="K110" s="206" t="s">
        <v>267</v>
      </c>
      <c r="L110" s="206"/>
      <c r="M110" s="206"/>
      <c r="N110" s="206" t="s">
        <v>268</v>
      </c>
      <c r="O110" s="206"/>
      <c r="P110" s="206"/>
      <c r="Q110" s="206"/>
      <c r="R110" s="206"/>
      <c r="S110" s="206"/>
      <c r="T110" s="206"/>
      <c r="U110" s="206"/>
      <c r="V110" s="206"/>
      <c r="W110" s="206"/>
      <c r="X110" s="206"/>
    </row>
    <row r="111" spans="11:24">
      <c r="K111" s="206" t="s">
        <v>254</v>
      </c>
      <c r="L111" s="206"/>
      <c r="M111" s="206"/>
      <c r="N111" s="206" t="s">
        <v>269</v>
      </c>
      <c r="O111" s="206"/>
      <c r="P111" s="206"/>
      <c r="Q111" s="206"/>
      <c r="R111" s="206"/>
      <c r="S111" s="206"/>
      <c r="T111" s="206"/>
      <c r="U111" s="206"/>
      <c r="V111" s="206"/>
      <c r="W111" s="206"/>
      <c r="X111" s="206"/>
    </row>
    <row r="112" spans="11:24">
      <c r="K112" s="206"/>
      <c r="L112" s="206"/>
      <c r="M112" s="206"/>
      <c r="N112" s="206"/>
      <c r="O112" s="206"/>
      <c r="P112" s="206"/>
      <c r="Q112" s="206"/>
      <c r="R112" s="206"/>
      <c r="S112" s="206"/>
      <c r="T112" s="206"/>
      <c r="U112" s="206"/>
      <c r="V112" s="206"/>
      <c r="W112" s="206"/>
      <c r="X112" s="206"/>
    </row>
    <row r="113" spans="11:24">
      <c r="K113" s="206"/>
      <c r="L113" s="206"/>
      <c r="M113" s="206"/>
      <c r="N113" s="206"/>
      <c r="O113" s="206"/>
      <c r="P113" s="206"/>
      <c r="Q113" s="206"/>
      <c r="R113" s="206"/>
      <c r="S113" s="206"/>
      <c r="T113" s="206"/>
      <c r="U113" s="206"/>
      <c r="V113" s="206"/>
      <c r="W113" s="206"/>
      <c r="X113" s="206"/>
    </row>
    <row r="114" spans="11:24">
      <c r="K114" s="206"/>
      <c r="L114" s="206"/>
      <c r="M114" s="206"/>
      <c r="N114" s="206"/>
      <c r="O114" s="206"/>
      <c r="P114" s="206"/>
      <c r="Q114" s="206"/>
      <c r="R114" s="206"/>
      <c r="S114" s="206"/>
      <c r="T114" s="206"/>
      <c r="U114" s="206"/>
      <c r="V114" s="206"/>
      <c r="W114" s="206"/>
      <c r="X114" s="206"/>
    </row>
    <row r="115" spans="11:24">
      <c r="K115" s="206"/>
      <c r="L115" s="206"/>
      <c r="M115" s="206"/>
      <c r="N115" s="206"/>
      <c r="O115" s="206"/>
      <c r="P115" s="206"/>
      <c r="Q115" s="206"/>
      <c r="R115" s="206"/>
      <c r="S115" s="206"/>
      <c r="T115" s="206"/>
      <c r="U115" s="206"/>
      <c r="V115" s="206"/>
      <c r="W115" s="206"/>
      <c r="X115" s="206"/>
    </row>
    <row r="116" spans="11:24">
      <c r="K116" s="206" t="s">
        <v>270</v>
      </c>
      <c r="L116" s="206"/>
      <c r="M116" s="206"/>
      <c r="N116" s="206"/>
      <c r="O116" s="206" t="s">
        <v>271</v>
      </c>
      <c r="P116" s="206"/>
      <c r="Q116" s="206"/>
      <c r="R116" s="206"/>
      <c r="S116" s="206"/>
      <c r="T116" s="206"/>
      <c r="U116" s="206"/>
      <c r="V116" s="206"/>
      <c r="W116" s="206"/>
      <c r="X116" s="206"/>
    </row>
    <row r="117" spans="11:24">
      <c r="K117" s="206"/>
      <c r="L117" s="206">
        <v>1</v>
      </c>
      <c r="M117" s="206" t="s">
        <v>272</v>
      </c>
      <c r="N117" s="206"/>
      <c r="O117" s="206" t="s">
        <v>273</v>
      </c>
      <c r="P117" s="206"/>
      <c r="Q117" s="206"/>
      <c r="R117" s="206"/>
      <c r="S117" s="206"/>
      <c r="T117" s="206"/>
      <c r="U117" s="206"/>
      <c r="V117" s="206"/>
      <c r="W117" s="206"/>
      <c r="X117" s="206"/>
    </row>
    <row r="118" spans="11:24">
      <c r="K118" s="206"/>
      <c r="L118" s="206">
        <v>2</v>
      </c>
      <c r="M118" s="206" t="s">
        <v>274</v>
      </c>
      <c r="N118" s="206"/>
      <c r="O118" s="206"/>
      <c r="P118" s="206"/>
      <c r="Q118" s="206"/>
      <c r="R118" s="206"/>
      <c r="S118" s="206"/>
      <c r="T118" s="206"/>
      <c r="U118" s="206" t="s">
        <v>275</v>
      </c>
      <c r="V118" s="206"/>
      <c r="W118" s="206"/>
      <c r="X118" s="206"/>
    </row>
    <row r="119" spans="11:24">
      <c r="K119" s="206"/>
      <c r="L119" s="206"/>
      <c r="M119" s="206"/>
      <c r="N119" s="206"/>
      <c r="O119" s="206"/>
      <c r="P119" s="206"/>
      <c r="Q119" s="206"/>
      <c r="R119" s="206"/>
      <c r="S119" s="206"/>
      <c r="T119" s="206"/>
      <c r="U119" s="206"/>
      <c r="V119" s="206"/>
      <c r="W119" s="206"/>
      <c r="X119" s="206"/>
    </row>
    <row r="120" spans="11:24">
      <c r="K120" s="206"/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</row>
    <row r="121" spans="11:24">
      <c r="K121" s="206" t="s">
        <v>276</v>
      </c>
      <c r="L121" s="206"/>
      <c r="M121" s="206"/>
      <c r="N121" s="206"/>
      <c r="O121" s="206"/>
      <c r="P121" s="206"/>
      <c r="Q121" s="206"/>
      <c r="R121" s="206"/>
      <c r="S121" s="206"/>
      <c r="T121" s="206"/>
      <c r="U121" s="206"/>
      <c r="V121" s="206"/>
      <c r="W121" s="206"/>
      <c r="X121" s="206"/>
    </row>
    <row r="122" spans="11:24">
      <c r="K122" s="206"/>
      <c r="L122" s="206"/>
      <c r="M122" s="206" t="s">
        <v>277</v>
      </c>
      <c r="N122" s="206"/>
      <c r="O122" s="206"/>
      <c r="P122" s="206"/>
      <c r="Q122" s="206"/>
      <c r="R122" s="206"/>
      <c r="S122" s="206"/>
      <c r="T122" s="206"/>
      <c r="U122" s="206"/>
      <c r="V122" s="206"/>
      <c r="W122" s="206"/>
      <c r="X122" s="206"/>
    </row>
    <row r="123" spans="11:24">
      <c r="K123" s="206"/>
      <c r="L123" s="206" t="s">
        <v>274</v>
      </c>
      <c r="M123" s="206" t="s">
        <v>278</v>
      </c>
      <c r="N123" s="206"/>
      <c r="O123" s="206"/>
      <c r="P123" s="206"/>
      <c r="Q123" s="206"/>
      <c r="R123" s="206"/>
      <c r="S123" s="206"/>
      <c r="T123" s="206"/>
      <c r="U123" s="206"/>
      <c r="V123" s="206"/>
      <c r="W123" s="206"/>
      <c r="X123" s="206"/>
    </row>
    <row r="124" spans="11:24">
      <c r="K124" s="206"/>
      <c r="L124" s="206"/>
      <c r="M124" s="206" t="s">
        <v>279</v>
      </c>
      <c r="N124" s="206"/>
      <c r="O124" s="206"/>
      <c r="P124" s="206"/>
      <c r="Q124" s="206"/>
      <c r="R124" s="206"/>
      <c r="S124" s="206"/>
      <c r="T124" s="206"/>
      <c r="U124" s="206"/>
      <c r="V124" s="206"/>
      <c r="W124" s="206"/>
      <c r="X124" s="206"/>
    </row>
    <row r="125" spans="11:24">
      <c r="K125" s="206"/>
      <c r="L125" s="206"/>
      <c r="M125" s="206"/>
      <c r="N125" s="206"/>
      <c r="O125" s="206"/>
      <c r="P125" s="206"/>
      <c r="Q125" s="206"/>
      <c r="R125" s="206"/>
      <c r="S125" s="206"/>
      <c r="T125" s="206"/>
      <c r="U125" s="206"/>
      <c r="V125" s="206"/>
      <c r="W125" s="206"/>
      <c r="X125" s="206"/>
    </row>
  </sheetData>
  <mergeCells count="22">
    <mergeCell ref="J1:K1"/>
    <mergeCell ref="J2:K2"/>
    <mergeCell ref="I3:BH3"/>
    <mergeCell ref="BI3:BT3"/>
    <mergeCell ref="I4:L4"/>
    <mergeCell ref="M4:P4"/>
    <mergeCell ref="Q4:U4"/>
    <mergeCell ref="V4:Y4"/>
    <mergeCell ref="Z4:AC4"/>
    <mergeCell ref="AD4:AH4"/>
    <mergeCell ref="BI4:BL4"/>
    <mergeCell ref="BM4:BP4"/>
    <mergeCell ref="BQ4:BT4"/>
    <mergeCell ref="AZ4:BD4"/>
    <mergeCell ref="BE4:BH4"/>
    <mergeCell ref="AB32:AD32"/>
    <mergeCell ref="AI4:AL4"/>
    <mergeCell ref="AM4:AQ4"/>
    <mergeCell ref="AR4:AU4"/>
    <mergeCell ref="AV4:AY4"/>
    <mergeCell ref="AB30:AD30"/>
    <mergeCell ref="AB31:AD31"/>
  </mergeCells>
  <conditionalFormatting sqref="I5:BT5">
    <cfRule type="expression" dxfId="17" priority="2">
      <formula>AND(I$5 &lt;= TODAY(), TODAY() &lt; I$5 + 7)</formula>
    </cfRule>
  </conditionalFormatting>
  <conditionalFormatting sqref="L1">
    <cfRule type="expression" dxfId="16" priority="1">
      <formula>AND(L$5 &lt;= TODAY(), TODAY() &lt; L$5 + 7)</formula>
    </cfRule>
  </conditionalFormatting>
  <hyperlinks>
    <hyperlink ref="M2" r:id="rId1" xr:uid="{75C1B389-498F-4387-BF2C-5EC9DA6C968D}"/>
    <hyperlink ref="N29" location="'Project Plan'!B24" display="Ref. Task Document &amp; Handover" xr:uid="{5F72E82B-92F3-4FB0-B049-7C4539A4B96C}"/>
  </hyperlinks>
  <pageMargins left="0.7" right="0.7" top="0.75" bottom="0.75" header="0.3" footer="0.3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1DD9-2A82-4A24-BD17-65C8D0BBDE0D}">
  <sheetPr filterMode="1">
    <tabColor theme="5" tint="0.79998168889431442"/>
  </sheetPr>
  <dimension ref="A1:S12"/>
  <sheetViews>
    <sheetView zoomScale="110" zoomScaleNormal="110" workbookViewId="0">
      <selection activeCell="I13" sqref="I13"/>
    </sheetView>
  </sheetViews>
  <sheetFormatPr defaultColWidth="11.42578125" defaultRowHeight="15"/>
  <cols>
    <col min="1" max="1" width="6" style="235" customWidth="1"/>
    <col min="2" max="2" width="65.140625" style="269" customWidth="1"/>
    <col min="3" max="3" width="11.42578125" style="235"/>
    <col min="4" max="4" width="10.140625" style="235" customWidth="1"/>
    <col min="5" max="5" width="11.42578125" style="235"/>
    <col min="6" max="6" width="14" style="273" bestFit="1" customWidth="1"/>
    <col min="7" max="7" width="13.42578125" style="273" bestFit="1" customWidth="1"/>
    <col min="8" max="8" width="15" style="269" customWidth="1"/>
    <col min="9" max="9" width="78.42578125" style="235" customWidth="1"/>
    <col min="10" max="15" width="11.42578125" style="235"/>
    <col min="16" max="16" width="11" style="235" customWidth="1"/>
    <col min="17" max="18" width="11.42578125" style="235"/>
    <col min="19" max="19" width="10.42578125" style="235" customWidth="1"/>
    <col min="20" max="16384" width="11.42578125" style="235"/>
  </cols>
  <sheetData>
    <row r="1" spans="1:19" ht="15.95">
      <c r="A1" s="266" t="s">
        <v>284</v>
      </c>
      <c r="B1" s="267" t="s">
        <v>285</v>
      </c>
      <c r="C1" s="266" t="s">
        <v>286</v>
      </c>
      <c r="D1" s="266" t="s">
        <v>287</v>
      </c>
      <c r="E1" s="266" t="s">
        <v>288</v>
      </c>
      <c r="F1" s="270" t="s">
        <v>289</v>
      </c>
      <c r="G1" s="270" t="s">
        <v>290</v>
      </c>
      <c r="H1" s="267" t="s">
        <v>291</v>
      </c>
      <c r="I1" s="274" t="s">
        <v>292</v>
      </c>
      <c r="P1" s="268" t="s">
        <v>293</v>
      </c>
      <c r="Q1" s="268" t="s">
        <v>286</v>
      </c>
      <c r="R1" s="268" t="s">
        <v>288</v>
      </c>
      <c r="S1" s="268" t="s">
        <v>287</v>
      </c>
    </row>
    <row r="2" spans="1:19" ht="32.1">
      <c r="A2" s="138">
        <v>1</v>
      </c>
      <c r="B2" s="236" t="s">
        <v>294</v>
      </c>
      <c r="C2" s="138" t="s">
        <v>295</v>
      </c>
      <c r="D2" s="138" t="s">
        <v>296</v>
      </c>
      <c r="E2" s="138" t="s">
        <v>297</v>
      </c>
      <c r="F2" s="271">
        <v>46136</v>
      </c>
      <c r="G2" s="271"/>
      <c r="H2" s="249" t="s">
        <v>298</v>
      </c>
      <c r="I2" s="236" t="s">
        <v>299</v>
      </c>
      <c r="Q2" s="235" t="s">
        <v>295</v>
      </c>
      <c r="R2" s="235" t="s">
        <v>300</v>
      </c>
      <c r="S2" s="235" t="s">
        <v>301</v>
      </c>
    </row>
    <row r="3" spans="1:19" ht="32.1">
      <c r="A3" s="138">
        <v>2</v>
      </c>
      <c r="B3" s="236" t="s">
        <v>302</v>
      </c>
      <c r="C3" s="138" t="s">
        <v>295</v>
      </c>
      <c r="D3" s="138" t="s">
        <v>301</v>
      </c>
      <c r="E3" s="138" t="s">
        <v>297</v>
      </c>
      <c r="F3" s="271">
        <v>46162</v>
      </c>
      <c r="G3" s="271">
        <v>46169</v>
      </c>
      <c r="H3" s="236" t="s">
        <v>303</v>
      </c>
      <c r="I3" s="248" t="s">
        <v>304</v>
      </c>
      <c r="Q3" s="235" t="s">
        <v>305</v>
      </c>
      <c r="R3" s="235" t="s">
        <v>306</v>
      </c>
      <c r="S3" s="235" t="s">
        <v>307</v>
      </c>
    </row>
    <row r="4" spans="1:19" ht="32.1" hidden="1">
      <c r="A4" s="144">
        <v>3</v>
      </c>
      <c r="B4" s="264" t="s">
        <v>308</v>
      </c>
      <c r="C4" s="144" t="s">
        <v>295</v>
      </c>
      <c r="D4" s="144" t="s">
        <v>309</v>
      </c>
      <c r="E4" s="144" t="s">
        <v>297</v>
      </c>
      <c r="F4" s="272">
        <v>46162</v>
      </c>
      <c r="G4" s="272">
        <v>46162</v>
      </c>
      <c r="H4" s="264" t="s">
        <v>310</v>
      </c>
      <c r="I4" s="265" t="s">
        <v>311</v>
      </c>
      <c r="Q4" s="235" t="s">
        <v>305</v>
      </c>
      <c r="R4" s="235" t="s">
        <v>306</v>
      </c>
      <c r="S4" s="235" t="s">
        <v>296</v>
      </c>
    </row>
    <row r="5" spans="1:19" ht="32.1">
      <c r="A5" s="138">
        <v>4</v>
      </c>
      <c r="B5" s="236" t="s">
        <v>312</v>
      </c>
      <c r="C5" s="138" t="s">
        <v>295</v>
      </c>
      <c r="D5" s="138" t="s">
        <v>301</v>
      </c>
      <c r="E5" s="138" t="s">
        <v>306</v>
      </c>
      <c r="F5" s="271">
        <v>46169</v>
      </c>
      <c r="G5" s="271"/>
      <c r="H5" s="236" t="s">
        <v>313</v>
      </c>
      <c r="I5" s="138"/>
      <c r="S5" s="235" t="s">
        <v>309</v>
      </c>
    </row>
    <row r="6" spans="1:19" ht="80.25" customHeight="1">
      <c r="A6" s="138">
        <v>5</v>
      </c>
      <c r="B6" s="236" t="s">
        <v>314</v>
      </c>
      <c r="C6" s="138" t="s">
        <v>295</v>
      </c>
      <c r="D6" s="138" t="s">
        <v>301</v>
      </c>
      <c r="E6" s="138" t="s">
        <v>306</v>
      </c>
      <c r="F6" s="271">
        <v>46169</v>
      </c>
      <c r="G6" s="271">
        <v>46295</v>
      </c>
      <c r="H6" s="236" t="s">
        <v>298</v>
      </c>
      <c r="I6" s="236" t="s">
        <v>315</v>
      </c>
    </row>
    <row r="7" spans="1:19" ht="48" hidden="1">
      <c r="A7" s="144">
        <v>6</v>
      </c>
      <c r="B7" s="264" t="s">
        <v>316</v>
      </c>
      <c r="C7" s="144" t="s">
        <v>295</v>
      </c>
      <c r="D7" s="144" t="s">
        <v>309</v>
      </c>
      <c r="E7" s="144" t="s">
        <v>306</v>
      </c>
      <c r="F7" s="272">
        <v>46169</v>
      </c>
      <c r="G7" s="272">
        <v>46181</v>
      </c>
      <c r="H7" s="264" t="s">
        <v>317</v>
      </c>
      <c r="I7" s="144"/>
    </row>
    <row r="8" spans="1:19" ht="213" hidden="1" customHeight="1">
      <c r="A8" s="144">
        <v>7</v>
      </c>
      <c r="B8" s="275" t="s">
        <v>318</v>
      </c>
      <c r="C8" s="144" t="s">
        <v>295</v>
      </c>
      <c r="D8" s="144" t="s">
        <v>309</v>
      </c>
      <c r="E8" s="138" t="s">
        <v>300</v>
      </c>
      <c r="F8" s="272">
        <v>46183</v>
      </c>
      <c r="G8" s="272">
        <v>46199</v>
      </c>
      <c r="H8" s="264" t="s">
        <v>319</v>
      </c>
      <c r="I8" s="275" t="s">
        <v>320</v>
      </c>
    </row>
    <row r="9" spans="1:19" ht="15.95">
      <c r="A9" s="144">
        <v>8</v>
      </c>
      <c r="B9" s="275" t="s">
        <v>321</v>
      </c>
      <c r="C9" s="144" t="s">
        <v>285</v>
      </c>
      <c r="D9" s="144" t="s">
        <v>301</v>
      </c>
      <c r="E9" s="138" t="s">
        <v>297</v>
      </c>
      <c r="F9" s="272">
        <v>46191</v>
      </c>
      <c r="G9" s="272" t="s">
        <v>110</v>
      </c>
      <c r="H9" s="276" t="s">
        <v>317</v>
      </c>
      <c r="I9" s="275"/>
    </row>
    <row r="10" spans="1:19" ht="80.099999999999994">
      <c r="A10" s="138">
        <v>9</v>
      </c>
      <c r="B10" s="236" t="s">
        <v>322</v>
      </c>
      <c r="C10" s="138" t="s">
        <v>285</v>
      </c>
      <c r="D10" s="138" t="s">
        <v>301</v>
      </c>
      <c r="E10" s="138" t="s">
        <v>297</v>
      </c>
      <c r="F10" s="271">
        <v>46204</v>
      </c>
      <c r="G10" s="271" t="s">
        <v>110</v>
      </c>
      <c r="H10" s="236" t="s">
        <v>243</v>
      </c>
      <c r="I10" s="236" t="s">
        <v>323</v>
      </c>
    </row>
    <row r="11" spans="1:19" ht="29.25">
      <c r="A11" s="138">
        <v>10</v>
      </c>
      <c r="B11" s="236" t="s">
        <v>324</v>
      </c>
      <c r="C11" s="138" t="s">
        <v>285</v>
      </c>
      <c r="D11" s="138" t="s">
        <v>301</v>
      </c>
      <c r="E11" s="138" t="s">
        <v>297</v>
      </c>
      <c r="F11" s="271">
        <v>46238</v>
      </c>
      <c r="G11" s="271" t="s">
        <v>110</v>
      </c>
      <c r="H11" s="236" t="s">
        <v>317</v>
      </c>
      <c r="I11" s="236" t="s">
        <v>325</v>
      </c>
    </row>
    <row r="12" spans="1:19" ht="29.25">
      <c r="A12" s="138">
        <v>11</v>
      </c>
      <c r="B12" s="236" t="s">
        <v>326</v>
      </c>
      <c r="C12" s="138" t="s">
        <v>285</v>
      </c>
      <c r="D12" s="138" t="s">
        <v>301</v>
      </c>
      <c r="E12" s="138" t="s">
        <v>300</v>
      </c>
      <c r="F12" s="271">
        <v>46239</v>
      </c>
      <c r="G12" s="271" t="s">
        <v>110</v>
      </c>
      <c r="H12" s="236" t="s">
        <v>298</v>
      </c>
      <c r="I12" s="236" t="s">
        <v>327</v>
      </c>
    </row>
  </sheetData>
  <autoFilter ref="A1:S10" xr:uid="{EE441DD9-2A82-4A24-BD17-65C8D0BBDE0D}">
    <filterColumn colId="3">
      <filters>
        <filter val="open"/>
        <filter val="pending"/>
      </filters>
    </filterColumn>
  </autoFilter>
  <conditionalFormatting sqref="E1:E1048576">
    <cfRule type="containsText" dxfId="2" priority="2" operator="containsText" text="low">
      <formula>NOT(ISERROR(SEARCH("low",E1)))</formula>
    </cfRule>
    <cfRule type="containsText" dxfId="1" priority="3" operator="containsText" text="medium">
      <formula>NOT(ISERROR(SEARCH("medium",E1)))</formula>
    </cfRule>
    <cfRule type="containsText" dxfId="0" priority="4" operator="containsText" text="High">
      <formula>NOT(ISERROR(SEARCH("High",E1)))</formula>
    </cfRule>
  </conditionalFormatting>
  <dataValidations count="3">
    <dataValidation type="list" allowBlank="1" showInputMessage="1" showErrorMessage="1" sqref="C2:C4" xr:uid="{6EDEBB60-E689-42C0-BA22-66B4ECF05E05}">
      <formula1>$Q$2:$Q$10</formula1>
    </dataValidation>
    <dataValidation type="list" allowBlank="1" showInputMessage="1" showErrorMessage="1" sqref="E2:E4 E8" xr:uid="{A0277A2F-D083-4751-A38F-1F454215034D}">
      <formula1>$R$2:$R$4</formula1>
    </dataValidation>
    <dataValidation type="list" allowBlank="1" showInputMessage="1" showErrorMessage="1" sqref="D1:D1048576" xr:uid="{EC2161B4-BF3D-47CC-A9F8-067243C519A6}">
      <formula1>$S$2:$S$5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A64D4A91FDF94299DED641FC0770A1" ma:contentTypeVersion="19" ma:contentTypeDescription="Create a new document." ma:contentTypeScope="" ma:versionID="fb51b79afec5e5f20be1577d1329ea86">
  <xsd:schema xmlns:xsd="http://www.w3.org/2001/XMLSchema" xmlns:xs="http://www.w3.org/2001/XMLSchema" xmlns:p="http://schemas.microsoft.com/office/2006/metadata/properties" xmlns:ns2="82af63fd-9504-4b78-babd-f8422e137c23" xmlns:ns3="1fbdc510-026f-456f-ba6a-d5116a58c76b" targetNamespace="http://schemas.microsoft.com/office/2006/metadata/properties" ma:root="true" ma:fieldsID="8c60b916e75995940c78e98039581d6b" ns2:_="" ns3:_="">
    <xsd:import namespace="82af63fd-9504-4b78-babd-f8422e137c23"/>
    <xsd:import namespace="1fbdc510-026f-456f-ba6a-d5116a58c7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  <xsd:element ref="ns2:ProjectStatus" minOccurs="0"/>
                <xsd:element ref="ns2:BudgetRequire" minOccurs="0"/>
                <xsd:element ref="ns2:DemandType" minOccurs="0"/>
                <xsd:element ref="ns2:Budge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f63fd-9504-4b78-babd-f8422e137c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1fd9b19-8475-4ec7-a5eb-8b090ac94c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ProjectStatus" ma:index="22" nillable="true" ma:displayName="Project Status" ma:format="Dropdown" ma:internalName="ProjectStatus">
      <xsd:simpleType>
        <xsd:restriction base="dms:Text">
          <xsd:maxLength value="255"/>
        </xsd:restriction>
      </xsd:simpleType>
    </xsd:element>
    <xsd:element name="BudgetRequire" ma:index="23" nillable="true" ma:displayName="Budget Require" ma:format="Dropdown" ma:internalName="BudgetRequire">
      <xsd:simpleType>
        <xsd:restriction base="dms:Choice">
          <xsd:enumeration value="Yes"/>
          <xsd:enumeration value="No"/>
        </xsd:restriction>
      </xsd:simpleType>
    </xsd:element>
    <xsd:element name="DemandType" ma:index="24" nillable="true" ma:displayName="Demand Type" ma:format="Dropdown" ma:internalName="DemandType">
      <xsd:simpleType>
        <xsd:restriction base="dms:Choice">
          <xsd:enumeration value="Adhoc"/>
          <xsd:enumeration value="Planned"/>
          <xsd:enumeration value="Resubmission"/>
        </xsd:restriction>
      </xsd:simpleType>
    </xsd:element>
    <xsd:element name="Budget" ma:index="25" nillable="true" ma:displayName="Budget (USD)" ma:format="Dropdown" ma:internalName="Budge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bdc510-026f-456f-ba6a-d5116a58c76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97e44ee-67b9-4f27-9b13-a2da4862a014}" ma:internalName="TaxCatchAll" ma:readOnly="false" ma:showField="CatchAllData" ma:web="1fbdc510-026f-456f-ba6a-d5116a58c7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2af63fd-9504-4b78-babd-f8422e137c23">
      <Terms xmlns="http://schemas.microsoft.com/office/infopath/2007/PartnerControls"/>
    </lcf76f155ced4ddcb4097134ff3c332f>
    <TaxCatchAll xmlns="1fbdc510-026f-456f-ba6a-d5116a58c76b" xsi:nil="true"/>
    <Budget xmlns="82af63fd-9504-4b78-babd-f8422e137c23" xsi:nil="true"/>
    <BudgetRequire xmlns="82af63fd-9504-4b78-babd-f8422e137c23" xsi:nil="true"/>
    <DemandType xmlns="82af63fd-9504-4b78-babd-f8422e137c23" xsi:nil="true"/>
    <ProjectStatus xmlns="82af63fd-9504-4b78-babd-f8422e137c2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71D0FE-79B8-4235-A433-13F3340C6D80}"/>
</file>

<file path=customXml/itemProps2.xml><?xml version="1.0" encoding="utf-8"?>
<ds:datastoreItem xmlns:ds="http://schemas.openxmlformats.org/officeDocument/2006/customXml" ds:itemID="{B7063740-F290-4C7B-81E9-6070CCDD1880}"/>
</file>

<file path=customXml/itemProps3.xml><?xml version="1.0" encoding="utf-8"?>
<ds:datastoreItem xmlns:ds="http://schemas.openxmlformats.org/officeDocument/2006/customXml" ds:itemID="{9370CD7D-D7C1-44CD-91D4-6D1EC7BF4EDC}"/>
</file>

<file path=docMetadata/LabelInfo.xml><?xml version="1.0" encoding="utf-8"?>
<clbl:labelList xmlns:clbl="http://schemas.microsoft.com/office/2020/mipLabelMetadata">
  <clbl:label id="{436fffe2-e74d-4f21-833f-6f054a10cb50}" enabled="1" method="Privileged" siteId="{a4dd5294-24e4-4102-8420-cb86d0baae1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Sriphrudtha, Supasin (TH - AB Ton)</dc:creator>
  <cp:keywords/>
  <dc:description/>
  <cp:lastModifiedBy/>
  <cp:revision/>
  <dcterms:created xsi:type="dcterms:W3CDTF">2025-10-10T02:19:28Z</dcterms:created>
  <dcterms:modified xsi:type="dcterms:W3CDTF">2026-08-13T03:15:21Z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0x0101008EA64D4A91FDF94299DED641FC0770A1</vt:lpwstr>
  </property>
  <property fmtid="{D5CDD505-2E9C-101B-9397-08002B2CF9AE}" pid="3" name="MediaServiceImageTags">
    <vt:lpwstr/>
  </property>
</Properties>
</file>