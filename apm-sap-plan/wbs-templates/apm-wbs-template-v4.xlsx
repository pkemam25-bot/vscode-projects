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rinyaKamnoed\Desktop\VS Code\APM SAP Plan (excel)\"/>
    </mc:Choice>
  </mc:AlternateContent>
  <xr:revisionPtr revIDLastSave="0" documentId="13_ncr:1_{71F89E3C-4FF7-4D1F-8155-BF5BD6FCD02F}" xr6:coauthVersionLast="47" xr6:coauthVersionMax="47" xr10:uidLastSave="{00000000-0000-0000-0000-000000000000}"/>
  <bookViews>
    <workbookView xWindow="-30" yWindow="-16320" windowWidth="29040" windowHeight="15720" activeTab="1" xr2:uid="{00000000-000D-0000-FFFF-FFFF00000000}"/>
  </bookViews>
  <sheets>
    <sheet name="Table of Contents" sheetId="1" r:id="rId1"/>
    <sheet name="APM WBS Schedule" sheetId="2" r:id="rId2"/>
    <sheet name="MNT12 Detailed Cutover Pl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3" l="1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E2" i="3"/>
  <c r="C2" i="3"/>
  <c r="J36" i="2"/>
  <c r="I36" i="2"/>
  <c r="J35" i="2"/>
  <c r="I35" i="2"/>
  <c r="D34" i="2"/>
  <c r="J34" i="2" s="1"/>
  <c r="J33" i="2"/>
  <c r="I33" i="2"/>
  <c r="J32" i="2"/>
  <c r="I32" i="2"/>
  <c r="J31" i="2"/>
  <c r="I31" i="2"/>
  <c r="D30" i="2"/>
  <c r="J30" i="2" s="1"/>
  <c r="J29" i="2"/>
  <c r="I29" i="2"/>
  <c r="J28" i="2"/>
  <c r="J26" i="2" s="1"/>
  <c r="I28" i="2"/>
  <c r="J27" i="2"/>
  <c r="I27" i="2"/>
  <c r="D26" i="2"/>
  <c r="J25" i="2"/>
  <c r="I25" i="2"/>
  <c r="J24" i="2"/>
  <c r="I24" i="2"/>
  <c r="J23" i="2"/>
  <c r="I23" i="2"/>
  <c r="D22" i="2"/>
  <c r="J22" i="2" s="1"/>
  <c r="J21" i="2"/>
  <c r="I21" i="2"/>
  <c r="J20" i="2"/>
  <c r="I20" i="2"/>
  <c r="J19" i="2"/>
  <c r="I19" i="2"/>
  <c r="D18" i="2"/>
  <c r="J17" i="2"/>
  <c r="I17" i="2"/>
  <c r="J16" i="2"/>
  <c r="I16" i="2"/>
  <c r="J15" i="2"/>
  <c r="I15" i="2"/>
  <c r="J14" i="2"/>
  <c r="D14" i="2"/>
  <c r="J13" i="2"/>
  <c r="I13" i="2"/>
  <c r="J12" i="2"/>
  <c r="I12" i="2"/>
  <c r="J11" i="2"/>
  <c r="I11" i="2"/>
  <c r="J10" i="2"/>
  <c r="D10" i="2"/>
  <c r="J9" i="2"/>
  <c r="I9" i="2"/>
  <c r="J8" i="2"/>
  <c r="I8" i="2"/>
  <c r="J7" i="2"/>
  <c r="J6" i="2" s="1"/>
  <c r="I7" i="2"/>
  <c r="D6" i="2"/>
  <c r="C2" i="2"/>
  <c r="I26" i="2" l="1"/>
  <c r="I14" i="2"/>
  <c r="I18" i="2"/>
  <c r="I6" i="2"/>
  <c r="I10" i="2"/>
  <c r="D5" i="2"/>
  <c r="J18" i="2"/>
  <c r="J5" i="2" s="1"/>
  <c r="G2" i="2" s="1"/>
  <c r="I22" i="2"/>
  <c r="I30" i="2"/>
  <c r="I34" i="2"/>
  <c r="I5" i="2" l="1"/>
  <c r="E2" i="2" s="1"/>
</calcChain>
</file>

<file path=xl/sharedStrings.xml><?xml version="1.0" encoding="utf-8"?>
<sst xmlns="http://schemas.openxmlformats.org/spreadsheetml/2006/main" count="421" uniqueCount="215">
  <si>
    <t>EP APM S/4HANA Integration WBS Master Template</t>
  </si>
  <si>
    <t>Document Control &amp; Metadata</t>
  </si>
  <si>
    <t>Project Name</t>
  </si>
  <si>
    <t>PTTEP S/4HANA Implementation (SHANA)</t>
  </si>
  <si>
    <t>Application Name</t>
  </si>
  <si>
    <t>EP APM (Asset Performance Management)</t>
  </si>
  <si>
    <t>Version</t>
  </si>
  <si>
    <t>v3.0 (Mock column &amp; Gantt Chart integrated)</t>
  </si>
  <si>
    <t>Target Go-Live Date</t>
  </si>
  <si>
    <t>July 1, 2027</t>
  </si>
  <si>
    <t>Primary Contact</t>
  </si>
  <si>
    <t>ITPM APM Workstream</t>
  </si>
  <si>
    <t>Generated Date</t>
  </si>
  <si>
    <t>August 2026</t>
  </si>
  <si>
    <t>Formatting Legend</t>
  </si>
  <si>
    <t>Input Cell</t>
  </si>
  <si>
    <t>User-editable fields (dates, duration, status)</t>
  </si>
  <si>
    <t>Calculated Cell</t>
  </si>
  <si>
    <t>Summary data and percentage completion formulas</t>
  </si>
  <si>
    <t>Section Header</t>
  </si>
  <si>
    <t>Workstream phase separations</t>
  </si>
  <si>
    <t>Standard Row</t>
  </si>
  <si>
    <t>Task listings and detailed rationale</t>
  </si>
  <si>
    <t>Navigational Link</t>
  </si>
  <si>
    <t>Go to APM WBS Schedule →</t>
  </si>
  <si>
    <t>Go to MNT12 Detailed Cutover Plan →</t>
  </si>
  <si>
    <t>PTTEP EP APM S/4HANA Integration - Work Breakdown Structure (WBS)</t>
  </si>
  <si>
    <t>KPI Metrics</t>
  </si>
  <si>
    <t>Total Tasks:</t>
  </si>
  <si>
    <t>Project Plan %:</t>
  </si>
  <si>
    <t>Project Actual %:</t>
  </si>
  <si>
    <t>Aug '26</t>
  </si>
  <si>
    <t>Sep '26</t>
  </si>
  <si>
    <t>Oct '26</t>
  </si>
  <si>
    <t>Nov '26</t>
  </si>
  <si>
    <t>Dec '26</t>
  </si>
  <si>
    <t>Jan '27</t>
  </si>
  <si>
    <t>Feb '27</t>
  </si>
  <si>
    <t>Mar '27</t>
  </si>
  <si>
    <t>Apr '27</t>
  </si>
  <si>
    <t>May '27</t>
  </si>
  <si>
    <t>Jun '27</t>
  </si>
  <si>
    <t>Jul '27</t>
  </si>
  <si>
    <t>WBS Code</t>
  </si>
  <si>
    <t>Task Description</t>
  </si>
  <si>
    <t>Ownership</t>
  </si>
  <si>
    <t>Recommended Duration (Days)</t>
  </si>
  <si>
    <t>Planned Start Date</t>
  </si>
  <si>
    <t>Planned End Date</t>
  </si>
  <si>
    <t>Predecessors</t>
  </si>
  <si>
    <t>Status</t>
  </si>
  <si>
    <t>% Plan</t>
  </si>
  <si>
    <t>% Actual</t>
  </si>
  <si>
    <t>Mock Number</t>
  </si>
  <si>
    <t>Detailed ITPM Rationale &amp; Scope</t>
  </si>
  <si>
    <t>W1</t>
  </si>
  <si>
    <t>W2</t>
  </si>
  <si>
    <t>W3</t>
  </si>
  <si>
    <t>W4</t>
  </si>
  <si>
    <t>W5</t>
  </si>
  <si>
    <t>1.0</t>
  </si>
  <si>
    <t>EP APM S/4HANA Integration Project</t>
  </si>
  <si>
    <t>Shared</t>
  </si>
  <si>
    <t>In Progress</t>
  </si>
  <si>
    <t>Mock 1, 2, 3</t>
  </si>
  <si>
    <t>Root baseline wrapping all deliverables for the APM S/4HANA cutover and go-live.</t>
  </si>
  <si>
    <t>1.1</t>
  </si>
  <si>
    <t>Project Management &amp; Governance</t>
  </si>
  <si>
    <t>N/A</t>
  </si>
  <si>
    <t>Continuous oversight, risk tracking, and PMO reporting.</t>
  </si>
  <si>
    <t>1.1.1</t>
  </si>
  <si>
    <t>Schedule &amp; Swimlane Synchronization</t>
  </si>
  <si>
    <t>Aligning APM cutover timelines with corporate SHANA Key Dates.</t>
  </si>
  <si>
    <t>1.1.2</t>
  </si>
  <si>
    <t>Risk, Action &amp; Issue Tracking</t>
  </si>
  <si>
    <t>Tracking system bugs in SHANA_SIT Issue Tracker.</t>
  </si>
  <si>
    <t>1.1.3</t>
  </si>
  <si>
    <t>PMO Status Reporting &amp; Milestone Gates</t>
  </si>
  <si>
    <t>Reporting progress to central PMO to pass program milestone gates.</t>
  </si>
  <si>
    <t>1.2</t>
  </si>
  <si>
    <t>Impact Analysis &amp; Solution Design</t>
  </si>
  <si>
    <t>Complete</t>
  </si>
  <si>
    <t>Mock 1</t>
  </si>
  <si>
    <t>Assessing database and schema impacts on downstream APM schemas.</t>
  </si>
  <si>
    <t>1.2.1</t>
  </si>
  <si>
    <t>S/4HANA Structural Change Assessment</t>
  </si>
  <si>
    <t>APM Team</t>
  </si>
  <si>
    <t>Assessing impacts on Equipment, Functional Location, and Measurement Documents.</t>
  </si>
  <si>
    <t>1.2.2</t>
  </si>
  <si>
    <t>Interface Mapping Design (PM-I-109 API)</t>
  </si>
  <si>
    <t>Mapping standard SAP fields via CPI / API Gateways to APM endpoints.</t>
  </si>
  <si>
    <t>1.2.3</t>
  </si>
  <si>
    <t>GCP Datamart &amp; BigQuery Schema Confirmation</t>
  </si>
  <si>
    <t>Designing target datamarts for APM transactional consumption.</t>
  </si>
  <si>
    <t>1.3</t>
  </si>
  <si>
    <t>System Development &amp; Unit Testing</t>
  </si>
  <si>
    <t>Remediating application core code and pipeline setups.</t>
  </si>
  <si>
    <t>1.3.1</t>
  </si>
  <si>
    <t>API Gateway Connectivity Build</t>
  </si>
  <si>
    <t>SAP Team</t>
  </si>
  <si>
    <t>Configuring Apigee and CPI outbound secure communication.</t>
  </si>
  <si>
    <t>1.3.2</t>
  </si>
  <si>
    <t>GCP Data Platform ETL Pipeline Build</t>
  </si>
  <si>
    <t>Bluebik and ODC developers establishing GCP staging loads.</t>
  </si>
  <si>
    <t>1.3.3</t>
  </si>
  <si>
    <t>APM Core Application Remediation</t>
  </si>
  <si>
    <t>Vendor modifying backend to align with new location and equipment names.</t>
  </si>
  <si>
    <t>1.4</t>
  </si>
  <si>
    <t>System Integration Testing (SIT)</t>
  </si>
  <si>
    <t>Testing all data streams between S/4HANA and APM backend.</t>
  </si>
  <si>
    <t>1.4.1</t>
  </si>
  <si>
    <t>Test Script Prep &amp; Metadata Alignment</t>
  </si>
  <si>
    <t>Reviewing test cases in SIT Baseline 1 and SharePoint folder 04. MNT.</t>
  </si>
  <si>
    <t>1.4.2</t>
  </si>
  <si>
    <t>Interface End-to-End Execution (PM-I-109)</t>
  </si>
  <si>
    <t>Executing synchronous real-time notification syncs.</t>
  </si>
  <si>
    <t>1.4.3</t>
  </si>
  <si>
    <t>Defect Remediation &amp; Re-testing Cycle</t>
  </si>
  <si>
    <t>Not Started</t>
  </si>
  <si>
    <t>Resolving bugs via SHANA_SIT tracker.</t>
  </si>
  <si>
    <t>1.5</t>
  </si>
  <si>
    <t>User Acceptance Testing (UAT)</t>
  </si>
  <si>
    <t>Mock 2</t>
  </si>
  <si>
    <t>Testing business scenarios with key users on Mock 2.</t>
  </si>
  <si>
    <t>1.5.1</t>
  </si>
  <si>
    <t>Environment Prep &amp; User ID Provisioning</t>
  </si>
  <si>
    <t>Submitting Matrix 3 on 1-Sep and provisioning user IDs in Azure AD.</t>
  </si>
  <si>
    <t>1.5.2</t>
  </si>
  <si>
    <t>Business Scenario Selection &amp; Test Data</t>
  </si>
  <si>
    <t>Key users drafting scenarios and preparing validation criteria.</t>
  </si>
  <si>
    <t>1.5.3</t>
  </si>
  <si>
    <t>UAT Execution, Defect Resolution &amp; Sign-off</t>
  </si>
  <si>
    <t>UAT Execution Kick-Off starting Dec 15 with 100+ site users.</t>
  </si>
  <si>
    <t>1.6</t>
  </si>
  <si>
    <t>Mock Cutover &amp; Dress Rehearsals</t>
  </si>
  <si>
    <t>Conducting mock cutovers of increasing complexity.</t>
  </si>
  <si>
    <t>1.6.1</t>
  </si>
  <si>
    <t>Mock 1 Execution (Initial Connectivity)</t>
  </si>
  <si>
    <t>Testing initial data ingest in staging environment.</t>
  </si>
  <si>
    <t>1.6.2</t>
  </si>
  <si>
    <t>Mock 2 Execution (Data Conversion)</t>
  </si>
  <si>
    <t>Executing location-to-plantsection data mapping on GCP.</t>
  </si>
  <si>
    <t>1.6.3</t>
  </si>
  <si>
    <t>Mock 3 Execution (Full Dress Rehearsal)</t>
  </si>
  <si>
    <t>Mock 3</t>
  </si>
  <si>
    <t>Comprehensive timed simulation mimicking ACO blackout.</t>
  </si>
  <si>
    <t>1.7</t>
  </si>
  <si>
    <t>Cutover &amp; Go-Live Execution (ACO)</t>
  </si>
  <si>
    <t>Executing the actual cutover and launch sequence.</t>
  </si>
  <si>
    <t>1.7.1</t>
  </si>
  <si>
    <t>Ramp Down Activities</t>
  </si>
  <si>
    <t>1.7.2</t>
  </si>
  <si>
    <t>Freezing and cleansing legacy notifications.</t>
  </si>
  <si>
    <t>Blackout Window Execution</t>
  </si>
  <si>
    <t>Stopping data creation, backup, and GCP data conversion.</t>
  </si>
  <si>
    <t>1.7.3</t>
  </si>
  <si>
    <t>Ramp Up (Application Startup &amp; Go-Live)</t>
  </si>
  <si>
    <t>APM Application startup at 08:01 on July 1 target date.</t>
  </si>
  <si>
    <t>1.8</t>
  </si>
  <si>
    <t>Training &amp; Post Go-Live Support</t>
  </si>
  <si>
    <t>Providing Hypercare and change enablement to users.</t>
  </si>
  <si>
    <t>1.8.1</t>
  </si>
  <si>
    <t>Key User Training &amp; End User Training</t>
  </si>
  <si>
    <t>Conducting KUT and EUT to prepare site maintenance engineers.</t>
  </si>
  <si>
    <t>1.8.2</t>
  </si>
  <si>
    <t>Hypercare Support Operations</t>
  </si>
  <si>
    <t>War-room support post-launch (PGLS phase).</t>
  </si>
  <si>
    <t>PTTEP EP APM (MNT12) - Detailed Cutover Plan &amp; Runbook</t>
  </si>
  <si>
    <t>Complete %:</t>
  </si>
  <si>
    <t>Stage</t>
  </si>
  <si>
    <t>Planned Start Date/Time</t>
  </si>
  <si>
    <t>Planned End Date/Time</t>
  </si>
  <si>
    <t>Detailed Description &amp; Rationale (Thai/English)</t>
  </si>
  <si>
    <t>MNT12.01</t>
  </si>
  <si>
    <t>Ramp Down</t>
  </si>
  <si>
    <t>Create ticket to deploy APIgee service</t>
  </si>
  <si>
    <t>APM: สร้าง Ticket เพื่อเตรียม Deploy Apigee service (CPI outbound) ระหว่าง Ramp down [Ref: Slide: GCP Swimlane]</t>
  </si>
  <si>
    <t>MNT12.02</t>
  </si>
  <si>
    <t>Master data sync up to legacy #1 Batch 1.1-1.6</t>
  </si>
  <si>
    <t>SAP: ข้อมูล Master Data Object จาก SAP เริ่มทยอยไหลไปที่ APM [Ref: Slide: GCP Swimlane]</t>
  </si>
  <si>
    <t>MNT12.03</t>
  </si>
  <si>
    <t>Last Create Notification, PM Work Order (SAP)</t>
  </si>
  <si>
    <t>SAP กำหนดให้วันที่ 24 Dec เป็นรายการสุดท้ายของ Notification และ PM Work Order [Ref: Slide: Maintenance]</t>
  </si>
  <si>
    <t>MNT12.04</t>
  </si>
  <si>
    <t>Last Create Notification, PM Work Order (APM)</t>
  </si>
  <si>
    <t>APM หยุดสร้าง Notification, PM Work Order (dependency no. 2) [Ref: Slide: Maintenance]</t>
  </si>
  <si>
    <t>MNT12.05</t>
  </si>
  <si>
    <t>Deploy Apigee service to PRD</t>
  </si>
  <si>
    <t>CPI ทำการ Deploy Apigee service to PRD [Ref: Slide: GCP Swimlane]</t>
  </si>
  <si>
    <t>MNT12.06</t>
  </si>
  <si>
    <t>Open Notification, PM Order, Measurement Document</t>
  </si>
  <si>
    <t>SAP: ข้อมูล Transaction Data จาก SAP เริ่มทยอยไหลไปที่ APM ระหว่าง blackout [Ref: Slide: Transaction Data]</t>
  </si>
  <si>
    <t>MNT12.07</t>
  </si>
  <si>
    <t>Blackout</t>
  </si>
  <si>
    <t>APIHUB via Apigee connectivity readiness</t>
  </si>
  <si>
    <t>GCP: ข้อมูลจาก Data Sphere เริ่มไหลมาที่ GCP [Ref: Slide: GCP]</t>
  </si>
  <si>
    <t>MNT12.08</t>
  </si>
  <si>
    <t>Application shutdown</t>
  </si>
  <si>
    <t>APM ปิดระบบ เพื่อรอให้ทาง Data และ Technical เตรียม conversion และ deploy [Ref: Slide: GCP]</t>
  </si>
  <si>
    <t>MNT12.09</t>
  </si>
  <si>
    <t>Database backup</t>
  </si>
  <si>
    <t>APM ทำการ Backup Database [Ref: Slide: GCP]</t>
  </si>
  <si>
    <t>MNT12.10</t>
  </si>
  <si>
    <t>Data Conversion and transformation to align with S/4 Structure</t>
  </si>
  <si>
    <t>APM ทำการ Conversion และ Transformation ข้อมูลให้ตรงตาม S/4 Structure [Ref: Slide: GCP]</t>
  </si>
  <si>
    <t>MNT12.11</t>
  </si>
  <si>
    <t>New deployment (DB, BE, FE)</t>
  </si>
  <si>
    <t>APM ทำการ Deploy (DB, BE, FE) [Ref: Slide: GCP]</t>
  </si>
  <si>
    <t>MNT12.12</t>
  </si>
  <si>
    <t>Ramp Up</t>
  </si>
  <si>
    <t>Application startup</t>
  </si>
  <si>
    <t>APM เปิดระบบ กลับมาใช้งานได้ตามปกติ [Ref: Slide: GCP]</t>
  </si>
  <si>
    <t>MNT12.13</t>
  </si>
  <si>
    <t>Hypercare, system monitoring</t>
  </si>
  <si>
    <t>APM เตรียม Stand by ดูความเรียบร้อย และประเมินระบบหลังขึ้นระบบจริง [Ref: Slide: GCP]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</si>
</sst>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\ hh:mm"/>
    <numFmt numFmtId="166" formatCode="yyyy\-mm\-dd"/>
  </numFmts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sz val="11"/>
      <name val="Calibri"/>
    </font>
    <font>
      <b/>
      <u/>
      <sz val="11"/>
      <color rgb="FF0563C1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sz val="11"/>
      <color rgb="FF1F4E78"/>
      <name val="Calibri"/>
    </font>
    <font>
      <sz val="11"/>
      <color rgb="FFC00000"/>
      <name val="Calibri"/>
    </font>
    <font>
      <sz val="11"/>
      <color rgb="FF375623"/>
      <name val="Calibri"/>
    </font>
    <font>
      <sz val="11"/>
      <color theme="1"/>
      <name val="Calibri"/>
    </font>
    <font>
      <sz val="11"/>
      <name val="Calibri"/>
    </font>
    <font>
      <b/>
      <sz val="9"/>
      <color rgb="FFFFFFFF"/>
      <name val="Calibri"/>
    </font>
    <font>
      <sz val="7"/>
      <color rgb="FF333333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2F5496"/>
      </patternFill>
    </fill>
    <fill>
      <patternFill patternType="solid">
        <fgColor rgb="FFD6DCE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8F8F8"/>
      </patternFill>
    </fill>
    <fill>
      <patternFill patternType="solid">
        <fgColor rgb="FF4472C4"/>
      </patternFill>
    </fill>
    <fill>
      <patternFill patternType="solid">
        <fgColor rgb="FFFFC000"/>
      </patternFill>
    </fill>
    <fill>
      <patternFill patternType="solid">
        <fgColor rgb="FF1F38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D9D9D9"/>
      </top>
      <bottom style="medium">
        <color rgb="FF2F5496"/>
      </bottom>
      <diagonal/>
    </border>
    <border>
      <left/>
      <right/>
      <top/>
      <bottom style="thin">
        <color rgb="FFD6DCE4"/>
      </bottom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FFC000"/>
      </left>
      <right style="medium">
        <color rgb="FFFFC00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4" fillId="0" borderId="0" xfId="0" applyFont="1"/>
    <xf numFmtId="0" fontId="5" fillId="5" borderId="0" xfId="0" applyFont="1" applyFill="1" applyAlignment="1">
      <alignment horizontal="center" vertical="center" wrapText="1"/>
    </xf>
    <xf numFmtId="0" fontId="2" fillId="7" borderId="3" xfId="0" applyFont="1" applyFill="1" applyBorder="1" applyAlignment="1">
      <alignment horizontal="center"/>
    </xf>
    <xf numFmtId="0" fontId="2" fillId="7" borderId="3" xfId="0" applyFont="1" applyFill="1" applyBorder="1"/>
    <xf numFmtId="0" fontId="2" fillId="7" borderId="3" xfId="0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right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/>
    <xf numFmtId="0" fontId="5" fillId="5" borderId="4" xfId="0" applyFont="1" applyFill="1" applyBorder="1" applyAlignment="1">
      <alignment horizontal="center" vertical="center"/>
    </xf>
    <xf numFmtId="164" fontId="2" fillId="7" borderId="3" xfId="0" applyNumberFormat="1" applyFont="1" applyFill="1" applyBorder="1" applyAlignment="1">
      <alignment horizontal="right" vertical="center"/>
    </xf>
    <xf numFmtId="164" fontId="3" fillId="8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0" fontId="8" fillId="1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16" borderId="2" xfId="0" applyFont="1" applyFill="1" applyBorder="1"/>
    <xf numFmtId="0" fontId="3" fillId="16" borderId="2" xfId="0" applyFont="1" applyFill="1" applyBorder="1"/>
    <xf numFmtId="0" fontId="2" fillId="16" borderId="2" xfId="0" applyFont="1" applyFill="1" applyBorder="1" applyAlignment="1">
      <alignment horizontal="right"/>
    </xf>
    <xf numFmtId="164" fontId="3" fillId="16" borderId="2" xfId="0" applyNumberFormat="1" applyFont="1" applyFill="1" applyBorder="1" applyAlignment="1">
      <alignment horizontal="left"/>
    </xf>
    <xf numFmtId="0" fontId="0" fillId="16" borderId="2" xfId="0" applyFill="1" applyBorder="1"/>
    <xf numFmtId="0" fontId="0" fillId="16" borderId="0" xfId="0" applyFill="1"/>
    <xf numFmtId="0" fontId="10" fillId="16" borderId="2" xfId="0" applyFont="1" applyFill="1" applyBorder="1"/>
    <xf numFmtId="0" fontId="6" fillId="13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left" vertical="center" wrapText="1"/>
    </xf>
    <xf numFmtId="0" fontId="2" fillId="14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166" fontId="2" fillId="7" borderId="3" xfId="0" applyNumberFormat="1" applyFont="1" applyFill="1" applyBorder="1" applyAlignment="1">
      <alignment horizontal="center"/>
    </xf>
    <xf numFmtId="166" fontId="3" fillId="3" borderId="1" xfId="0" applyNumberFormat="1" applyFont="1" applyFill="1" applyBorder="1" applyAlignment="1">
      <alignment horizontal="center"/>
    </xf>
    <xf numFmtId="0" fontId="11" fillId="0" borderId="7" xfId="0" applyFont="1" applyBorder="1"/>
    <xf numFmtId="0" fontId="0" fillId="22" borderId="8" xfId="0" applyFill="1" applyBorder="1"/>
    <xf numFmtId="0" fontId="13" fillId="18" borderId="8" xfId="0" applyFont="1" applyFill="1" applyBorder="1" applyAlignment="1">
      <alignment horizontal="center" vertical="center"/>
    </xf>
    <xf numFmtId="0" fontId="13" fillId="21" borderId="8" xfId="0" applyFont="1" applyFill="1" applyBorder="1" applyAlignment="1">
      <alignment horizontal="center" vertical="center"/>
    </xf>
    <xf numFmtId="0" fontId="11" fillId="19" borderId="8" xfId="0" applyFont="1" applyFill="1" applyBorder="1" applyAlignment="1">
      <alignment horizontal="center" vertical="center"/>
    </xf>
    <xf numFmtId="0" fontId="11" fillId="20" borderId="8" xfId="0" applyFont="1" applyFill="1" applyBorder="1" applyAlignment="1">
      <alignment horizontal="center" vertical="center"/>
    </xf>
    <xf numFmtId="0" fontId="11" fillId="20" borderId="9" xfId="0" applyFont="1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2" fillId="17" borderId="8" xfId="0" applyFont="1" applyFill="1" applyBorder="1" applyAlignment="1">
      <alignment horizontal="center" vertical="center"/>
    </xf>
    <xf numFmtId="0" fontId="0" fillId="17" borderId="8" xfId="0" applyFill="1" applyBorder="1"/>
    <xf numFmtId="0" fontId="0" fillId="21" borderId="8" xfId="0" applyFill="1" applyBorder="1"/>
    <xf numFmtId="0" fontId="1" fillId="10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  <sz val="9"/>
        <color rgb="FF8FAADC"/>
        <name val="Calibri"/>
      </font>
      <fill>
        <patternFill patternType="solid">
          <fgColor rgb="FF8FAA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showGridLines="0" workbookViewId="0">
      <selection sqref="A1:E1"/>
    </sheetView>
  </sheetViews>
  <sheetFormatPr defaultRowHeight="14.5" x14ac:dyDescent="0.35"/>
  <cols>
    <col min="1" max="1" width="30" customWidth="1"/>
    <col min="2" max="2" width="50" customWidth="1"/>
  </cols>
  <sheetData>
    <row r="1" spans="1:5" ht="40" customHeight="1" x14ac:dyDescent="0.35">
      <c r="A1" s="57" t="s">
        <v>0</v>
      </c>
      <c r="B1" s="58"/>
      <c r="C1" s="58"/>
      <c r="D1" s="58"/>
      <c r="E1" s="58"/>
    </row>
    <row r="3" spans="1:5" x14ac:dyDescent="0.35">
      <c r="A3" s="1" t="s">
        <v>1</v>
      </c>
    </row>
    <row r="4" spans="1:5" x14ac:dyDescent="0.35">
      <c r="A4" s="2" t="s">
        <v>2</v>
      </c>
      <c r="B4" s="3" t="s">
        <v>3</v>
      </c>
    </row>
    <row r="5" spans="1:5" x14ac:dyDescent="0.35">
      <c r="A5" s="2" t="s">
        <v>4</v>
      </c>
      <c r="B5" s="3" t="s">
        <v>5</v>
      </c>
    </row>
    <row r="6" spans="1:5" x14ac:dyDescent="0.35">
      <c r="A6" s="2" t="s">
        <v>6</v>
      </c>
      <c r="B6" s="3" t="s">
        <v>7</v>
      </c>
    </row>
    <row r="7" spans="1:5" x14ac:dyDescent="0.35">
      <c r="A7" s="2" t="s">
        <v>8</v>
      </c>
      <c r="B7" s="3" t="s">
        <v>9</v>
      </c>
    </row>
    <row r="8" spans="1:5" x14ac:dyDescent="0.35">
      <c r="A8" s="2" t="s">
        <v>10</v>
      </c>
      <c r="B8" s="3" t="s">
        <v>11</v>
      </c>
    </row>
    <row r="9" spans="1:5" x14ac:dyDescent="0.35">
      <c r="A9" s="2" t="s">
        <v>12</v>
      </c>
      <c r="B9" s="3" t="s">
        <v>13</v>
      </c>
    </row>
    <row r="12" spans="1:5" x14ac:dyDescent="0.35">
      <c r="A12" s="1" t="s">
        <v>14</v>
      </c>
    </row>
    <row r="13" spans="1:5" x14ac:dyDescent="0.35">
      <c r="A13" s="4" t="s">
        <v>15</v>
      </c>
      <c r="B13" s="3" t="s">
        <v>16</v>
      </c>
    </row>
    <row r="14" spans="1:5" x14ac:dyDescent="0.35">
      <c r="A14" s="5" t="s">
        <v>17</v>
      </c>
      <c r="B14" s="3" t="s">
        <v>18</v>
      </c>
    </row>
    <row r="15" spans="1:5" x14ac:dyDescent="0.35">
      <c r="A15" s="6" t="s">
        <v>19</v>
      </c>
      <c r="B15" s="3" t="s">
        <v>20</v>
      </c>
    </row>
    <row r="16" spans="1:5" x14ac:dyDescent="0.35">
      <c r="A16" s="7" t="s">
        <v>21</v>
      </c>
      <c r="B16" s="3" t="s">
        <v>22</v>
      </c>
    </row>
    <row r="19" spans="1:1" x14ac:dyDescent="0.35">
      <c r="A19" s="1" t="s">
        <v>23</v>
      </c>
    </row>
    <row r="20" spans="1:1" x14ac:dyDescent="0.35">
      <c r="A20" s="8" t="s">
        <v>24</v>
      </c>
    </row>
    <row r="21" spans="1:1" x14ac:dyDescent="0.35">
      <c r="A21" s="8" t="s">
        <v>25</v>
      </c>
    </row>
  </sheetData>
  <mergeCells count="1">
    <mergeCell ref="A1:E1"/>
  </mergeCells>
  <hyperlinks>
    <hyperlink ref="A20" location="'APM WBS Schedule'!A1" display="Go to APM WBS Schedule →" xr:uid="{00000000-0004-0000-0000-000000000000}"/>
    <hyperlink ref="A21" location="'MNT12 Detailed Cutover Plan'!A1" display="Go to MNT12 Detailed Cutover Plan →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36"/>
  <sheetViews>
    <sheetView showGridLines="0" tabSelected="1" workbookViewId="0">
      <pane xSplit="3" ySplit="4" topLeftCell="E5" activePane="bottomRight" state="frozen"/>
      <selection pane="topRight" activeCell="D1" sqref="D1"/>
      <selection pane="bottomLeft" activeCell="A5" sqref="A5"/>
      <selection pane="bottomRight" activeCell="G10" sqref="G10"/>
    </sheetView>
  </sheetViews>
  <sheetFormatPr defaultRowHeight="14.5" x14ac:dyDescent="0.35"/>
  <cols>
    <col min="1" max="1" width="12" customWidth="1"/>
    <col min="2" max="2" width="45" customWidth="1"/>
    <col min="3" max="3" width="15" customWidth="1"/>
    <col min="4" max="4" width="25" customWidth="1"/>
    <col min="5" max="6" width="20" customWidth="1"/>
    <col min="7" max="11" width="15" customWidth="1"/>
    <col min="12" max="12" width="74.7265625" bestFit="1" customWidth="1"/>
    <col min="13" max="71" width="3" customWidth="1"/>
  </cols>
  <sheetData>
    <row r="1" spans="1:72" ht="40" customHeight="1" x14ac:dyDescent="0.35">
      <c r="A1" s="57" t="s">
        <v>26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</row>
    <row r="2" spans="1:72" ht="25" customHeight="1" x14ac:dyDescent="0.35">
      <c r="A2" s="34" t="s">
        <v>27</v>
      </c>
      <c r="B2" s="34" t="s">
        <v>28</v>
      </c>
      <c r="C2" s="35">
        <f>COUNTA(A5:A100)</f>
        <v>32</v>
      </c>
      <c r="D2" s="36" t="s">
        <v>29</v>
      </c>
      <c r="E2" s="37">
        <f ca="1">I5</f>
        <v>1.9962570180910792E-2</v>
      </c>
      <c r="F2" s="36" t="s">
        <v>30</v>
      </c>
      <c r="G2" s="37">
        <f>J5</f>
        <v>0.46912039925140364</v>
      </c>
      <c r="H2" s="38"/>
      <c r="I2" s="39"/>
      <c r="J2" s="39"/>
      <c r="K2" s="38"/>
      <c r="L2" s="40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</row>
    <row r="3" spans="1:72" ht="10" customHeight="1" x14ac:dyDescent="0.3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59" t="s">
        <v>31</v>
      </c>
      <c r="N3" s="60"/>
      <c r="O3" s="60"/>
      <c r="P3" s="61"/>
      <c r="Q3" s="60"/>
      <c r="R3" s="59" t="s">
        <v>32</v>
      </c>
      <c r="S3" s="60"/>
      <c r="T3" s="60"/>
      <c r="U3" s="60"/>
      <c r="V3" s="60"/>
      <c r="W3" s="59" t="s">
        <v>33</v>
      </c>
      <c r="X3" s="60"/>
      <c r="Y3" s="60"/>
      <c r="Z3" s="60"/>
      <c r="AA3" s="60"/>
      <c r="AB3" s="59" t="s">
        <v>34</v>
      </c>
      <c r="AC3" s="60"/>
      <c r="AD3" s="60"/>
      <c r="AE3" s="60"/>
      <c r="AF3" s="60"/>
      <c r="AG3" s="59" t="s">
        <v>35</v>
      </c>
      <c r="AH3" s="60"/>
      <c r="AI3" s="60"/>
      <c r="AJ3" s="60"/>
      <c r="AK3" s="60"/>
      <c r="AL3" s="59" t="s">
        <v>36</v>
      </c>
      <c r="AM3" s="60"/>
      <c r="AN3" s="60"/>
      <c r="AO3" s="60"/>
      <c r="AP3" s="60"/>
      <c r="AQ3" s="59" t="s">
        <v>37</v>
      </c>
      <c r="AR3" s="60"/>
      <c r="AS3" s="60"/>
      <c r="AT3" s="60"/>
      <c r="AU3" s="59" t="s">
        <v>38</v>
      </c>
      <c r="AV3" s="60"/>
      <c r="AW3" s="60"/>
      <c r="AX3" s="60"/>
      <c r="AY3" s="60"/>
      <c r="AZ3" s="59" t="s">
        <v>39</v>
      </c>
      <c r="BA3" s="60"/>
      <c r="BB3" s="60"/>
      <c r="BC3" s="60"/>
      <c r="BD3" s="60"/>
      <c r="BE3" s="59" t="s">
        <v>40</v>
      </c>
      <c r="BF3" s="60"/>
      <c r="BG3" s="60"/>
      <c r="BH3" s="60"/>
      <c r="BI3" s="60"/>
      <c r="BJ3" s="59" t="s">
        <v>41</v>
      </c>
      <c r="BK3" s="60"/>
      <c r="BL3" s="60"/>
      <c r="BM3" s="60"/>
      <c r="BN3" s="60"/>
      <c r="BO3" s="59" t="s">
        <v>42</v>
      </c>
      <c r="BP3" s="60"/>
      <c r="BQ3" s="60"/>
      <c r="BR3" s="60"/>
      <c r="BS3" s="60"/>
    </row>
    <row r="4" spans="1:72" ht="30" customHeight="1" x14ac:dyDescent="0.35">
      <c r="A4" s="9" t="s">
        <v>43</v>
      </c>
      <c r="B4" s="9" t="s">
        <v>44</v>
      </c>
      <c r="C4" s="9" t="s">
        <v>45</v>
      </c>
      <c r="D4" s="9" t="s">
        <v>46</v>
      </c>
      <c r="E4" s="9" t="s">
        <v>47</v>
      </c>
      <c r="F4" s="9" t="s">
        <v>48</v>
      </c>
      <c r="G4" s="9" t="s">
        <v>49</v>
      </c>
      <c r="H4" s="9" t="s">
        <v>50</v>
      </c>
      <c r="I4" s="18" t="s">
        <v>51</v>
      </c>
      <c r="J4" s="18" t="s">
        <v>52</v>
      </c>
      <c r="K4" s="41" t="s">
        <v>53</v>
      </c>
      <c r="L4" s="42" t="s">
        <v>54</v>
      </c>
      <c r="M4" s="50" t="s">
        <v>55</v>
      </c>
      <c r="N4" s="50" t="s">
        <v>56</v>
      </c>
      <c r="O4" s="50" t="s">
        <v>57</v>
      </c>
      <c r="P4" s="51" t="s">
        <v>58</v>
      </c>
      <c r="Q4" s="50" t="s">
        <v>59</v>
      </c>
      <c r="R4" s="50" t="s">
        <v>55</v>
      </c>
      <c r="S4" s="50" t="s">
        <v>56</v>
      </c>
      <c r="T4" s="50" t="s">
        <v>57</v>
      </c>
      <c r="U4" s="50" t="s">
        <v>58</v>
      </c>
      <c r="V4" s="50" t="s">
        <v>59</v>
      </c>
      <c r="W4" s="50" t="s">
        <v>55</v>
      </c>
      <c r="X4" s="50" t="s">
        <v>56</v>
      </c>
      <c r="Y4" s="50" t="s">
        <v>57</v>
      </c>
      <c r="Z4" s="50" t="s">
        <v>58</v>
      </c>
      <c r="AA4" s="50" t="s">
        <v>59</v>
      </c>
      <c r="AB4" s="50" t="s">
        <v>55</v>
      </c>
      <c r="AC4" s="50" t="s">
        <v>56</v>
      </c>
      <c r="AD4" s="50" t="s">
        <v>57</v>
      </c>
      <c r="AE4" s="50" t="s">
        <v>58</v>
      </c>
      <c r="AF4" s="50" t="s">
        <v>59</v>
      </c>
      <c r="AG4" s="50" t="s">
        <v>55</v>
      </c>
      <c r="AH4" s="50" t="s">
        <v>56</v>
      </c>
      <c r="AI4" s="50" t="s">
        <v>57</v>
      </c>
      <c r="AJ4" s="50" t="s">
        <v>58</v>
      </c>
      <c r="AK4" s="50" t="s">
        <v>59</v>
      </c>
      <c r="AL4" s="50" t="s">
        <v>55</v>
      </c>
      <c r="AM4" s="50" t="s">
        <v>56</v>
      </c>
      <c r="AN4" s="50" t="s">
        <v>57</v>
      </c>
      <c r="AO4" s="50" t="s">
        <v>58</v>
      </c>
      <c r="AP4" s="50" t="s">
        <v>59</v>
      </c>
      <c r="AQ4" s="50" t="s">
        <v>55</v>
      </c>
      <c r="AR4" s="50" t="s">
        <v>56</v>
      </c>
      <c r="AS4" s="50" t="s">
        <v>57</v>
      </c>
      <c r="AT4" s="50" t="s">
        <v>58</v>
      </c>
      <c r="AU4" s="50" t="s">
        <v>55</v>
      </c>
      <c r="AV4" s="50" t="s">
        <v>56</v>
      </c>
      <c r="AW4" s="50" t="s">
        <v>57</v>
      </c>
      <c r="AX4" s="50" t="s">
        <v>58</v>
      </c>
      <c r="AY4" s="50" t="s">
        <v>59</v>
      </c>
      <c r="AZ4" s="50" t="s">
        <v>55</v>
      </c>
      <c r="BA4" s="50" t="s">
        <v>56</v>
      </c>
      <c r="BB4" s="50" t="s">
        <v>57</v>
      </c>
      <c r="BC4" s="50" t="s">
        <v>58</v>
      </c>
      <c r="BD4" s="50" t="s">
        <v>59</v>
      </c>
      <c r="BE4" s="50" t="s">
        <v>55</v>
      </c>
      <c r="BF4" s="50" t="s">
        <v>56</v>
      </c>
      <c r="BG4" s="50" t="s">
        <v>57</v>
      </c>
      <c r="BH4" s="50" t="s">
        <v>58</v>
      </c>
      <c r="BI4" s="50" t="s">
        <v>59</v>
      </c>
      <c r="BJ4" s="50" t="s">
        <v>55</v>
      </c>
      <c r="BK4" s="50" t="s">
        <v>56</v>
      </c>
      <c r="BL4" s="50" t="s">
        <v>57</v>
      </c>
      <c r="BM4" s="50" t="s">
        <v>58</v>
      </c>
      <c r="BN4" s="50" t="s">
        <v>59</v>
      </c>
      <c r="BO4" s="50" t="s">
        <v>55</v>
      </c>
      <c r="BP4" s="50" t="s">
        <v>56</v>
      </c>
      <c r="BQ4" s="50" t="s">
        <v>57</v>
      </c>
      <c r="BR4" s="50" t="s">
        <v>58</v>
      </c>
      <c r="BS4" s="50" t="s">
        <v>59</v>
      </c>
    </row>
    <row r="5" spans="1:72" ht="22" customHeight="1" x14ac:dyDescent="0.35">
      <c r="A5" s="10" t="s">
        <v>60</v>
      </c>
      <c r="B5" s="11" t="s">
        <v>61</v>
      </c>
      <c r="C5" s="10" t="s">
        <v>62</v>
      </c>
      <c r="D5" s="12">
        <f>SUM(D6,D10,D14,D18,D22,D26,D30,D34)</f>
        <v>1603</v>
      </c>
      <c r="E5" s="46">
        <v>46255</v>
      </c>
      <c r="F5" s="46">
        <v>46599</v>
      </c>
      <c r="G5" s="10"/>
      <c r="H5" s="10" t="s">
        <v>63</v>
      </c>
      <c r="I5" s="19">
        <f ca="1">(D6*I6 + D10*I10 + D14*I14 + D18*I18 + D22*I22 + D26*I26 + D30*I30 + D34*I34)/D5</f>
        <v>1.9962570180910792E-2</v>
      </c>
      <c r="J5" s="19">
        <f>(D6*J6 + D10*J10 + D14*J14 + D18*J18 + D22*J22 + D26*J26 + D30*J30 + D34*J34)/D5</f>
        <v>0.46912039925140364</v>
      </c>
      <c r="K5" s="43" t="s">
        <v>64</v>
      </c>
      <c r="L5" s="11" t="s">
        <v>65</v>
      </c>
      <c r="M5" s="52"/>
      <c r="N5" s="52"/>
      <c r="O5" s="53"/>
      <c r="P5" s="54"/>
      <c r="Q5" s="53"/>
      <c r="R5" s="53"/>
      <c r="S5" s="53"/>
      <c r="T5" s="53"/>
      <c r="U5" s="53"/>
      <c r="V5" s="53"/>
      <c r="W5" s="53"/>
      <c r="X5" s="53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</row>
    <row r="6" spans="1:72" ht="22" customHeight="1" x14ac:dyDescent="0.35">
      <c r="A6" s="10" t="s">
        <v>66</v>
      </c>
      <c r="B6" s="11" t="s">
        <v>67</v>
      </c>
      <c r="C6" s="10" t="s">
        <v>62</v>
      </c>
      <c r="D6" s="12">
        <f>SUM(D7:D9)</f>
        <v>1002</v>
      </c>
      <c r="E6" s="46">
        <v>46255</v>
      </c>
      <c r="F6" s="46">
        <v>46589</v>
      </c>
      <c r="G6" s="10"/>
      <c r="H6" s="10" t="s">
        <v>63</v>
      </c>
      <c r="I6" s="19">
        <f ca="1">SUMPRODUCT(D7:D9, I7:I9)/D6</f>
        <v>1.4970059880239521E-2</v>
      </c>
      <c r="J6" s="19">
        <f>SUMPRODUCT(D7:D9, J7:J9)/D6</f>
        <v>0.5</v>
      </c>
      <c r="K6" s="43" t="s">
        <v>68</v>
      </c>
      <c r="L6" s="11" t="s">
        <v>69</v>
      </c>
      <c r="M6" s="52"/>
      <c r="N6" s="52"/>
      <c r="O6" s="53"/>
      <c r="P6" s="54"/>
      <c r="Q6" s="53"/>
      <c r="R6" s="53"/>
      <c r="S6" s="53"/>
      <c r="T6" s="53"/>
      <c r="U6" s="53"/>
      <c r="V6" s="53"/>
      <c r="W6" s="53"/>
      <c r="X6" s="53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6"/>
      <c r="BS6" s="56"/>
    </row>
    <row r="7" spans="1:72" ht="22" customHeight="1" x14ac:dyDescent="0.35">
      <c r="A7" s="13" t="s">
        <v>70</v>
      </c>
      <c r="B7" s="3" t="s">
        <v>71</v>
      </c>
      <c r="C7" s="13" t="s">
        <v>62</v>
      </c>
      <c r="D7" s="14">
        <v>334</v>
      </c>
      <c r="E7" s="47">
        <v>46255</v>
      </c>
      <c r="F7" s="47">
        <v>46589</v>
      </c>
      <c r="G7" s="13"/>
      <c r="H7" s="15" t="s">
        <v>63</v>
      </c>
      <c r="I7" s="20">
        <f ca="1">IF(TODAY() &lt; E7, 0, IF(TODAY() &gt;= F7, 1, (TODAY() - E7) / D7))</f>
        <v>1.4970059880239521E-2</v>
      </c>
      <c r="J7" s="20">
        <f>IF(H7="Complete", 1, IF(H7="In Progress", 0.5, 0))</f>
        <v>0.5</v>
      </c>
      <c r="K7" s="44" t="s">
        <v>68</v>
      </c>
      <c r="L7" s="3" t="s">
        <v>72</v>
      </c>
      <c r="M7" s="52"/>
      <c r="N7" s="52"/>
      <c r="O7" s="53"/>
      <c r="P7" s="54"/>
      <c r="Q7" s="53"/>
      <c r="R7" s="53"/>
      <c r="S7" s="53"/>
      <c r="T7" s="53"/>
      <c r="U7" s="53"/>
      <c r="V7" s="53"/>
      <c r="W7" s="53"/>
      <c r="X7" s="53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6"/>
      <c r="BS7" s="56"/>
    </row>
    <row r="8" spans="1:72" ht="22" customHeight="1" x14ac:dyDescent="0.35">
      <c r="A8" s="16" t="s">
        <v>73</v>
      </c>
      <c r="B8" s="17" t="s">
        <v>74</v>
      </c>
      <c r="C8" s="16" t="s">
        <v>62</v>
      </c>
      <c r="D8" s="14">
        <v>334</v>
      </c>
      <c r="E8" s="47">
        <v>46255</v>
      </c>
      <c r="F8" s="47">
        <v>46589</v>
      </c>
      <c r="G8" s="16"/>
      <c r="H8" s="15" t="s">
        <v>63</v>
      </c>
      <c r="I8" s="20">
        <f ca="1">IF(TODAY() &lt; E8, 0, IF(TODAY() &gt;= F8, 1, (TODAY() - E8) / D8))</f>
        <v>1.4970059880239521E-2</v>
      </c>
      <c r="J8" s="20">
        <f>IF(H8="Complete", 1, IF(H8="In Progress", 0.5, 0))</f>
        <v>0.5</v>
      </c>
      <c r="K8" s="45" t="s">
        <v>68</v>
      </c>
      <c r="L8" s="17" t="s">
        <v>75</v>
      </c>
      <c r="M8" s="52"/>
      <c r="N8" s="52"/>
      <c r="O8" s="53"/>
      <c r="P8" s="54"/>
      <c r="Q8" s="53"/>
      <c r="R8" s="53"/>
      <c r="S8" s="53"/>
      <c r="T8" s="53"/>
      <c r="U8" s="53"/>
      <c r="V8" s="53"/>
      <c r="W8" s="53"/>
      <c r="X8" s="53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6"/>
      <c r="BS8" s="56"/>
    </row>
    <row r="9" spans="1:72" ht="22" customHeight="1" x14ac:dyDescent="0.35">
      <c r="A9" s="13" t="s">
        <v>76</v>
      </c>
      <c r="B9" s="3" t="s">
        <v>77</v>
      </c>
      <c r="C9" s="13" t="s">
        <v>62</v>
      </c>
      <c r="D9" s="14">
        <v>334</v>
      </c>
      <c r="E9" s="47">
        <v>46255</v>
      </c>
      <c r="F9" s="47">
        <v>46589</v>
      </c>
      <c r="G9" s="13"/>
      <c r="H9" s="15" t="s">
        <v>63</v>
      </c>
      <c r="I9" s="20">
        <f ca="1">IF(TODAY() &lt; E9, 0, IF(TODAY() &gt;= F9, 1, (TODAY() - E9) / D9))</f>
        <v>1.4970059880239521E-2</v>
      </c>
      <c r="J9" s="20">
        <f>IF(H9="Complete", 1, IF(H9="In Progress", 0.5, 0))</f>
        <v>0.5</v>
      </c>
      <c r="K9" s="44" t="s">
        <v>68</v>
      </c>
      <c r="L9" s="3" t="s">
        <v>78</v>
      </c>
      <c r="M9" s="52"/>
      <c r="N9" s="52"/>
      <c r="O9" s="53"/>
      <c r="P9" s="54"/>
      <c r="Q9" s="53"/>
      <c r="R9" s="53"/>
      <c r="S9" s="53"/>
      <c r="T9" s="53"/>
      <c r="U9" s="53"/>
      <c r="V9" s="53"/>
      <c r="W9" s="53"/>
      <c r="X9" s="53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6"/>
      <c r="BS9" s="56"/>
    </row>
    <row r="10" spans="1:72" ht="22" customHeight="1" x14ac:dyDescent="0.35">
      <c r="A10" s="10" t="s">
        <v>79</v>
      </c>
      <c r="B10" s="11" t="s">
        <v>80</v>
      </c>
      <c r="C10" s="10" t="s">
        <v>62</v>
      </c>
      <c r="D10" s="12">
        <f>SUM(D11:D13)</f>
        <v>85</v>
      </c>
      <c r="E10" s="46">
        <v>46255</v>
      </c>
      <c r="F10" s="46">
        <v>46295</v>
      </c>
      <c r="G10" s="10"/>
      <c r="H10" s="10" t="s">
        <v>81</v>
      </c>
      <c r="I10" s="19">
        <f ca="1">SUMPRODUCT(D11:D13, I11:I13)/D10</f>
        <v>8.2352941176470587E-2</v>
      </c>
      <c r="J10" s="19">
        <f>SUMPRODUCT(D11:D13, J11:J13)/D10</f>
        <v>1</v>
      </c>
      <c r="K10" s="43" t="s">
        <v>82</v>
      </c>
      <c r="L10" s="11" t="s">
        <v>83</v>
      </c>
      <c r="M10" s="52"/>
      <c r="N10" s="52"/>
      <c r="O10" s="53"/>
      <c r="P10" s="54"/>
      <c r="Q10" s="53"/>
      <c r="R10" s="53"/>
      <c r="S10" s="53"/>
      <c r="T10" s="53"/>
      <c r="U10" s="53"/>
      <c r="V10" s="53"/>
      <c r="W10" s="52"/>
      <c r="X10" s="52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</row>
    <row r="11" spans="1:72" ht="22" customHeight="1" x14ac:dyDescent="0.35">
      <c r="A11" s="13" t="s">
        <v>84</v>
      </c>
      <c r="B11" s="3" t="s">
        <v>85</v>
      </c>
      <c r="C11" s="13" t="s">
        <v>86</v>
      </c>
      <c r="D11" s="14">
        <v>25</v>
      </c>
      <c r="E11" s="47">
        <v>46255</v>
      </c>
      <c r="F11" s="47">
        <v>46280</v>
      </c>
      <c r="G11" s="13"/>
      <c r="H11" s="15" t="s">
        <v>81</v>
      </c>
      <c r="I11" s="20">
        <f ca="1">IF(TODAY() &lt; E11, 0, IF(TODAY() &gt;= F11, 1, (TODAY() - E11) / D11))</f>
        <v>0.2</v>
      </c>
      <c r="J11" s="20">
        <f>IF(H11="Complete", 1, IF(H11="In Progress", 0.5, 0))</f>
        <v>1</v>
      </c>
      <c r="K11" s="44" t="s">
        <v>82</v>
      </c>
      <c r="L11" s="3" t="s">
        <v>87</v>
      </c>
      <c r="M11" s="52"/>
      <c r="N11" s="52"/>
      <c r="O11" s="53"/>
      <c r="P11" s="54"/>
      <c r="Q11" s="53"/>
      <c r="R11" s="53"/>
      <c r="S11" s="53"/>
      <c r="T11" s="53"/>
      <c r="U11" s="52"/>
      <c r="V11" s="52"/>
      <c r="W11" s="52"/>
      <c r="X11" s="52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</row>
    <row r="12" spans="1:72" ht="22" customHeight="1" x14ac:dyDescent="0.35">
      <c r="A12" s="16" t="s">
        <v>88</v>
      </c>
      <c r="B12" s="17" t="s">
        <v>89</v>
      </c>
      <c r="C12" s="16" t="s">
        <v>62</v>
      </c>
      <c r="D12" s="14">
        <v>30</v>
      </c>
      <c r="E12" s="47">
        <v>46259</v>
      </c>
      <c r="F12" s="47">
        <v>46289</v>
      </c>
      <c r="G12" s="16" t="s">
        <v>84</v>
      </c>
      <c r="H12" s="15" t="s">
        <v>81</v>
      </c>
      <c r="I12" s="20">
        <f ca="1">IF(TODAY() &lt; E12, 0, IF(TODAY() &gt;= F12, 1, (TODAY() - E12) / D12))</f>
        <v>3.3333333333333333E-2</v>
      </c>
      <c r="J12" s="20">
        <f>IF(H12="Complete", 1, IF(H12="In Progress", 0.5, 0))</f>
        <v>1</v>
      </c>
      <c r="K12" s="45" t="s">
        <v>82</v>
      </c>
      <c r="L12" s="17" t="s">
        <v>90</v>
      </c>
      <c r="M12" s="52"/>
      <c r="N12" s="52"/>
      <c r="O12" s="52"/>
      <c r="P12" s="54"/>
      <c r="Q12" s="53"/>
      <c r="R12" s="53"/>
      <c r="S12" s="53"/>
      <c r="T12" s="53"/>
      <c r="U12" s="53"/>
      <c r="V12" s="52"/>
      <c r="W12" s="52"/>
      <c r="X12" s="52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</row>
    <row r="13" spans="1:72" ht="22" customHeight="1" x14ac:dyDescent="0.35">
      <c r="A13" s="13" t="s">
        <v>91</v>
      </c>
      <c r="B13" s="3" t="s">
        <v>92</v>
      </c>
      <c r="C13" s="13" t="s">
        <v>62</v>
      </c>
      <c r="D13" s="14">
        <v>30</v>
      </c>
      <c r="E13" s="47">
        <v>46259</v>
      </c>
      <c r="F13" s="47">
        <v>46289</v>
      </c>
      <c r="G13" s="13" t="s">
        <v>84</v>
      </c>
      <c r="H13" s="15" t="s">
        <v>81</v>
      </c>
      <c r="I13" s="20">
        <f ca="1">IF(TODAY() &lt; E13, 0, IF(TODAY() &gt;= F13, 1, (TODAY() - E13) / D13))</f>
        <v>3.3333333333333333E-2</v>
      </c>
      <c r="J13" s="20">
        <f>IF(H13="Complete", 1, IF(H13="In Progress", 0.5, 0))</f>
        <v>1</v>
      </c>
      <c r="K13" s="44" t="s">
        <v>82</v>
      </c>
      <c r="L13" s="3" t="s">
        <v>93</v>
      </c>
      <c r="M13" s="52"/>
      <c r="N13" s="52"/>
      <c r="O13" s="52"/>
      <c r="P13" s="54"/>
      <c r="Q13" s="53"/>
      <c r="R13" s="53"/>
      <c r="S13" s="53"/>
      <c r="T13" s="53"/>
      <c r="U13" s="53"/>
      <c r="V13" s="52"/>
      <c r="W13" s="52"/>
      <c r="X13" s="52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</row>
    <row r="14" spans="1:72" ht="22" customHeight="1" x14ac:dyDescent="0.35">
      <c r="A14" s="10" t="s">
        <v>94</v>
      </c>
      <c r="B14" s="11" t="s">
        <v>95</v>
      </c>
      <c r="C14" s="10" t="s">
        <v>62</v>
      </c>
      <c r="D14" s="12">
        <f>SUM(D15:D17)</f>
        <v>75</v>
      </c>
      <c r="E14" s="46">
        <v>46280</v>
      </c>
      <c r="F14" s="46">
        <v>46325</v>
      </c>
      <c r="G14" s="10" t="s">
        <v>79</v>
      </c>
      <c r="H14" s="10" t="s">
        <v>81</v>
      </c>
      <c r="I14" s="19">
        <f ca="1">SUMPRODUCT(D15:D17, I15:I17)/D14</f>
        <v>0</v>
      </c>
      <c r="J14" s="19">
        <f>SUMPRODUCT(D15:D17, J15:J17)/D14</f>
        <v>1</v>
      </c>
      <c r="K14" s="43" t="s">
        <v>82</v>
      </c>
      <c r="L14" s="11" t="s">
        <v>96</v>
      </c>
      <c r="M14" s="52"/>
      <c r="N14" s="52"/>
      <c r="O14" s="52"/>
      <c r="P14" s="52"/>
      <c r="Q14" s="52"/>
      <c r="R14" s="52"/>
      <c r="S14" s="52"/>
      <c r="T14" s="53"/>
      <c r="U14" s="53"/>
      <c r="V14" s="53"/>
      <c r="W14" s="53"/>
      <c r="X14" s="53"/>
      <c r="Y14" s="55"/>
      <c r="Z14" s="55"/>
      <c r="AA14" s="55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</row>
    <row r="15" spans="1:72" ht="22" customHeight="1" x14ac:dyDescent="0.35">
      <c r="A15" s="13" t="s">
        <v>97</v>
      </c>
      <c r="B15" s="3" t="s">
        <v>98</v>
      </c>
      <c r="C15" s="13" t="s">
        <v>99</v>
      </c>
      <c r="D15" s="14">
        <v>20</v>
      </c>
      <c r="E15" s="47">
        <v>46280</v>
      </c>
      <c r="F15" s="47">
        <v>46300</v>
      </c>
      <c r="G15" s="13" t="s">
        <v>88</v>
      </c>
      <c r="H15" s="15" t="s">
        <v>81</v>
      </c>
      <c r="I15" s="20">
        <f ca="1">IF(TODAY() &lt; E15, 0, IF(TODAY() &gt;= F15, 1, (TODAY() - E15) / D15))</f>
        <v>0</v>
      </c>
      <c r="J15" s="20">
        <f>IF(H15="Complete", 1, IF(H15="In Progress", 0.5, 0))</f>
        <v>1</v>
      </c>
      <c r="K15" s="44" t="s">
        <v>82</v>
      </c>
      <c r="L15" s="3" t="s">
        <v>100</v>
      </c>
      <c r="M15" s="52"/>
      <c r="N15" s="52"/>
      <c r="O15" s="52"/>
      <c r="P15" s="52"/>
      <c r="Q15" s="52"/>
      <c r="R15" s="52"/>
      <c r="S15" s="52"/>
      <c r="T15" s="53"/>
      <c r="U15" s="53"/>
      <c r="V15" s="53"/>
      <c r="W15" s="53"/>
      <c r="X15" s="52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</row>
    <row r="16" spans="1:72" ht="22" customHeight="1" x14ac:dyDescent="0.35">
      <c r="A16" s="16" t="s">
        <v>101</v>
      </c>
      <c r="B16" s="17" t="s">
        <v>102</v>
      </c>
      <c r="C16" s="16" t="s">
        <v>99</v>
      </c>
      <c r="D16" s="14">
        <v>25</v>
      </c>
      <c r="E16" s="47">
        <v>46285</v>
      </c>
      <c r="F16" s="47">
        <v>46310</v>
      </c>
      <c r="G16" s="16" t="s">
        <v>91</v>
      </c>
      <c r="H16" s="15" t="s">
        <v>81</v>
      </c>
      <c r="I16" s="20">
        <f ca="1">IF(TODAY() &lt; E16, 0, IF(TODAY() &gt;= F16, 1, (TODAY() - E16) / D16))</f>
        <v>0</v>
      </c>
      <c r="J16" s="20">
        <f>IF(H16="Complete", 1, IF(H16="In Progress", 0.5, 0))</f>
        <v>1</v>
      </c>
      <c r="K16" s="45" t="s">
        <v>82</v>
      </c>
      <c r="L16" s="17" t="s">
        <v>103</v>
      </c>
      <c r="M16" s="52"/>
      <c r="N16" s="52"/>
      <c r="O16" s="52"/>
      <c r="P16" s="52"/>
      <c r="Q16" s="52"/>
      <c r="R16" s="52"/>
      <c r="S16" s="52"/>
      <c r="T16" s="53"/>
      <c r="U16" s="53"/>
      <c r="V16" s="53"/>
      <c r="W16" s="53"/>
      <c r="X16" s="53"/>
      <c r="Y16" s="55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</row>
    <row r="17" spans="1:71" ht="22" customHeight="1" x14ac:dyDescent="0.35">
      <c r="A17" s="13" t="s">
        <v>104</v>
      </c>
      <c r="B17" s="3" t="s">
        <v>105</v>
      </c>
      <c r="C17" s="13" t="s">
        <v>86</v>
      </c>
      <c r="D17" s="14">
        <v>30</v>
      </c>
      <c r="E17" s="47">
        <v>46296</v>
      </c>
      <c r="F17" s="47">
        <v>46325</v>
      </c>
      <c r="G17" s="13" t="s">
        <v>84</v>
      </c>
      <c r="H17" s="15" t="s">
        <v>81</v>
      </c>
      <c r="I17" s="20">
        <f ca="1">IF(TODAY() &lt; E17, 0, IF(TODAY() &gt;= F17, 1, (TODAY() - E17) / D17))</f>
        <v>0</v>
      </c>
      <c r="J17" s="20">
        <f>IF(H17="Complete", 1, IF(H17="In Progress", 0.5, 0))</f>
        <v>1</v>
      </c>
      <c r="K17" s="44" t="s">
        <v>82</v>
      </c>
      <c r="L17" s="3" t="s">
        <v>106</v>
      </c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3"/>
      <c r="X17" s="53"/>
      <c r="Y17" s="55"/>
      <c r="Z17" s="55"/>
      <c r="AA17" s="55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</row>
    <row r="18" spans="1:71" ht="22" customHeight="1" x14ac:dyDescent="0.35">
      <c r="A18" s="10" t="s">
        <v>107</v>
      </c>
      <c r="B18" s="11" t="s">
        <v>108</v>
      </c>
      <c r="C18" s="10" t="s">
        <v>62</v>
      </c>
      <c r="D18" s="12">
        <f>SUM(D19:D21)</f>
        <v>50</v>
      </c>
      <c r="E18" s="46">
        <v>46310</v>
      </c>
      <c r="F18" s="46">
        <v>46350</v>
      </c>
      <c r="G18" s="10" t="s">
        <v>94</v>
      </c>
      <c r="H18" s="10" t="s">
        <v>63</v>
      </c>
      <c r="I18" s="19">
        <f ca="1">SUMPRODUCT(D19:D21, I19:I21)/D18</f>
        <v>0</v>
      </c>
      <c r="J18" s="19">
        <f>SUMPRODUCT(D19:D21, J19:J21)/D18</f>
        <v>0.5</v>
      </c>
      <c r="K18" s="43" t="s">
        <v>82</v>
      </c>
      <c r="L18" s="11" t="s">
        <v>109</v>
      </c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5"/>
      <c r="Z18" s="55"/>
      <c r="AA18" s="55"/>
      <c r="AB18" s="55"/>
      <c r="AC18" s="55"/>
      <c r="AD18" s="55"/>
      <c r="AE18" s="55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</row>
    <row r="19" spans="1:71" ht="22" customHeight="1" x14ac:dyDescent="0.35">
      <c r="A19" s="13" t="s">
        <v>110</v>
      </c>
      <c r="B19" s="3" t="s">
        <v>111</v>
      </c>
      <c r="C19" s="13" t="s">
        <v>62</v>
      </c>
      <c r="D19" s="14">
        <v>15</v>
      </c>
      <c r="E19" s="47">
        <v>46310</v>
      </c>
      <c r="F19" s="47">
        <v>46325</v>
      </c>
      <c r="G19" s="13" t="s">
        <v>104</v>
      </c>
      <c r="H19" s="15" t="s">
        <v>81</v>
      </c>
      <c r="I19" s="20">
        <f ca="1">IF(TODAY() &lt; E19, 0, IF(TODAY() &gt;= F19, 1, (TODAY() - E19) / D19))</f>
        <v>0</v>
      </c>
      <c r="J19" s="20">
        <f>IF(H19="Complete", 1, IF(H19="In Progress", 0.5, 0))</f>
        <v>1</v>
      </c>
      <c r="K19" s="44" t="s">
        <v>82</v>
      </c>
      <c r="L19" s="3" t="s">
        <v>112</v>
      </c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5"/>
      <c r="Z19" s="55"/>
      <c r="AA19" s="55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</row>
    <row r="20" spans="1:71" ht="22" customHeight="1" x14ac:dyDescent="0.35">
      <c r="A20" s="16" t="s">
        <v>113</v>
      </c>
      <c r="B20" s="17" t="s">
        <v>114</v>
      </c>
      <c r="C20" s="16" t="s">
        <v>62</v>
      </c>
      <c r="D20" s="14">
        <v>20</v>
      </c>
      <c r="E20" s="47">
        <v>46327</v>
      </c>
      <c r="F20" s="47">
        <v>46346</v>
      </c>
      <c r="G20" s="16" t="s">
        <v>110</v>
      </c>
      <c r="H20" s="15" t="s">
        <v>63</v>
      </c>
      <c r="I20" s="20">
        <f ca="1">IF(TODAY() &lt; E20, 0, IF(TODAY() &gt;= F20, 1, (TODAY() - E20) / D20))</f>
        <v>0</v>
      </c>
      <c r="J20" s="20">
        <f>IF(H20="Complete", 1, IF(H20="In Progress", 0.5, 0))</f>
        <v>0.5</v>
      </c>
      <c r="K20" s="45" t="s">
        <v>82</v>
      </c>
      <c r="L20" s="17" t="s">
        <v>115</v>
      </c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6"/>
      <c r="Z20" s="56"/>
      <c r="AA20" s="56"/>
      <c r="AB20" s="55"/>
      <c r="AC20" s="55"/>
      <c r="AD20" s="55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</row>
    <row r="21" spans="1:71" ht="22" customHeight="1" x14ac:dyDescent="0.35">
      <c r="A21" s="13" t="s">
        <v>116</v>
      </c>
      <c r="B21" s="3" t="s">
        <v>117</v>
      </c>
      <c r="C21" s="13" t="s">
        <v>62</v>
      </c>
      <c r="D21" s="14">
        <v>15</v>
      </c>
      <c r="E21" s="47">
        <v>46336</v>
      </c>
      <c r="F21" s="47">
        <v>46350</v>
      </c>
      <c r="G21" s="13" t="s">
        <v>113</v>
      </c>
      <c r="H21" s="15" t="s">
        <v>118</v>
      </c>
      <c r="I21" s="20">
        <f ca="1">IF(TODAY() &lt; E21, 0, IF(TODAY() &gt;= F21, 1, (TODAY() - E21) / D21))</f>
        <v>0</v>
      </c>
      <c r="J21" s="20">
        <f>IF(H21="Complete", 1, IF(H21="In Progress", 0.5, 0))</f>
        <v>0</v>
      </c>
      <c r="K21" s="44" t="s">
        <v>82</v>
      </c>
      <c r="L21" s="3" t="s">
        <v>119</v>
      </c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6"/>
      <c r="Z21" s="56"/>
      <c r="AA21" s="56"/>
      <c r="AB21" s="56"/>
      <c r="AC21" s="55"/>
      <c r="AD21" s="55"/>
      <c r="AE21" s="55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</row>
    <row r="22" spans="1:71" ht="22" customHeight="1" x14ac:dyDescent="0.35">
      <c r="A22" s="10" t="s">
        <v>120</v>
      </c>
      <c r="B22" s="11" t="s">
        <v>121</v>
      </c>
      <c r="C22" s="10" t="s">
        <v>62</v>
      </c>
      <c r="D22" s="12">
        <f>SUM(D23:D25)</f>
        <v>98</v>
      </c>
      <c r="E22" s="46">
        <v>46255</v>
      </c>
      <c r="F22" s="46">
        <v>46433</v>
      </c>
      <c r="G22" s="10" t="s">
        <v>107</v>
      </c>
      <c r="H22" s="10" t="s">
        <v>63</v>
      </c>
      <c r="I22" s="19">
        <f ca="1">SUMPRODUCT(D23:D25, I23:I25)/D22</f>
        <v>0.10204081632653061</v>
      </c>
      <c r="J22" s="19">
        <f>SUMPRODUCT(D23:D25, J23:J25)/D22</f>
        <v>0.36734693877551022</v>
      </c>
      <c r="K22" s="43" t="s">
        <v>122</v>
      </c>
      <c r="L22" s="11" t="s">
        <v>123</v>
      </c>
      <c r="M22" s="52"/>
      <c r="N22" s="52"/>
      <c r="O22" s="53"/>
      <c r="P22" s="54"/>
      <c r="Q22" s="53"/>
      <c r="R22" s="53"/>
      <c r="S22" s="53"/>
      <c r="T22" s="53"/>
      <c r="U22" s="53"/>
      <c r="V22" s="53"/>
      <c r="W22" s="53"/>
      <c r="X22" s="53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</row>
    <row r="23" spans="1:71" ht="22" customHeight="1" x14ac:dyDescent="0.35">
      <c r="A23" s="13" t="s">
        <v>124</v>
      </c>
      <c r="B23" s="3" t="s">
        <v>125</v>
      </c>
      <c r="C23" s="13" t="s">
        <v>62</v>
      </c>
      <c r="D23" s="14">
        <v>11</v>
      </c>
      <c r="E23" s="47">
        <v>46255</v>
      </c>
      <c r="F23" s="47">
        <v>46266</v>
      </c>
      <c r="G23" s="13"/>
      <c r="H23" s="15" t="s">
        <v>81</v>
      </c>
      <c r="I23" s="20">
        <f ca="1">IF(TODAY() &lt; E23, 0, IF(TODAY() &gt;= F23, 1, (TODAY() - E23) / D23))</f>
        <v>0.45454545454545453</v>
      </c>
      <c r="J23" s="20">
        <f>IF(H23="Complete", 1, IF(H23="In Progress", 0.5, 0))</f>
        <v>1</v>
      </c>
      <c r="K23" s="44" t="s">
        <v>122</v>
      </c>
      <c r="L23" s="3" t="s">
        <v>126</v>
      </c>
      <c r="M23" s="52"/>
      <c r="N23" s="52"/>
      <c r="O23" s="53"/>
      <c r="P23" s="54"/>
      <c r="Q23" s="53"/>
      <c r="R23" s="53"/>
      <c r="S23" s="52"/>
      <c r="T23" s="52"/>
      <c r="U23" s="52"/>
      <c r="V23" s="52"/>
      <c r="W23" s="52"/>
      <c r="X23" s="52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</row>
    <row r="24" spans="1:71" ht="22" customHeight="1" x14ac:dyDescent="0.35">
      <c r="A24" s="16" t="s">
        <v>127</v>
      </c>
      <c r="B24" s="17" t="s">
        <v>128</v>
      </c>
      <c r="C24" s="16" t="s">
        <v>86</v>
      </c>
      <c r="D24" s="14">
        <v>25</v>
      </c>
      <c r="E24" s="47">
        <v>46255</v>
      </c>
      <c r="F24" s="47">
        <v>46280</v>
      </c>
      <c r="G24" s="16"/>
      <c r="H24" s="15" t="s">
        <v>81</v>
      </c>
      <c r="I24" s="20">
        <f ca="1">IF(TODAY() &lt; E24, 0, IF(TODAY() &gt;= F24, 1, (TODAY() - E24) / D24))</f>
        <v>0.2</v>
      </c>
      <c r="J24" s="20">
        <f>IF(H24="Complete", 1, IF(H24="In Progress", 0.5, 0))</f>
        <v>1</v>
      </c>
      <c r="K24" s="45" t="s">
        <v>122</v>
      </c>
      <c r="L24" s="17" t="s">
        <v>129</v>
      </c>
      <c r="M24" s="52"/>
      <c r="N24" s="52"/>
      <c r="O24" s="53"/>
      <c r="P24" s="54"/>
      <c r="Q24" s="53"/>
      <c r="R24" s="53"/>
      <c r="S24" s="53"/>
      <c r="T24" s="53"/>
      <c r="U24" s="52"/>
      <c r="V24" s="52"/>
      <c r="W24" s="52"/>
      <c r="X24" s="52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</row>
    <row r="25" spans="1:71" ht="22" customHeight="1" x14ac:dyDescent="0.35">
      <c r="A25" s="13" t="s">
        <v>130</v>
      </c>
      <c r="B25" s="3" t="s">
        <v>131</v>
      </c>
      <c r="C25" s="13" t="s">
        <v>86</v>
      </c>
      <c r="D25" s="14">
        <v>62</v>
      </c>
      <c r="E25" s="47">
        <v>46371</v>
      </c>
      <c r="F25" s="47">
        <v>46433</v>
      </c>
      <c r="G25" s="13" t="s">
        <v>113</v>
      </c>
      <c r="H25" s="15" t="s">
        <v>118</v>
      </c>
      <c r="I25" s="20">
        <f ca="1">IF(TODAY() &lt; E25, 0, IF(TODAY() &gt;= F25, 1, (TODAY() - E25) / D25))</f>
        <v>0</v>
      </c>
      <c r="J25" s="20">
        <f>IF(H25="Complete", 1, IF(H25="In Progress", 0.5, 0))</f>
        <v>0</v>
      </c>
      <c r="K25" s="44" t="s">
        <v>122</v>
      </c>
      <c r="L25" s="3" t="s">
        <v>132</v>
      </c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</row>
    <row r="26" spans="1:71" ht="22" customHeight="1" x14ac:dyDescent="0.35">
      <c r="A26" s="10" t="s">
        <v>133</v>
      </c>
      <c r="B26" s="11" t="s">
        <v>134</v>
      </c>
      <c r="C26" s="10" t="s">
        <v>62</v>
      </c>
      <c r="D26" s="12">
        <f>SUM(D27:D29)</f>
        <v>212</v>
      </c>
      <c r="E26" s="46">
        <v>46266</v>
      </c>
      <c r="F26" s="46">
        <v>46541</v>
      </c>
      <c r="G26" s="10" t="s">
        <v>94</v>
      </c>
      <c r="H26" s="10" t="s">
        <v>63</v>
      </c>
      <c r="I26" s="19">
        <f ca="1">SUMPRODUCT(D27:D29, I27:I29)/D26</f>
        <v>0</v>
      </c>
      <c r="J26" s="19">
        <f>SUMPRODUCT(D27:D29, J27:J29)/D26</f>
        <v>0.14150943396226415</v>
      </c>
      <c r="K26" s="43" t="s">
        <v>64</v>
      </c>
      <c r="L26" s="11" t="s">
        <v>135</v>
      </c>
      <c r="M26" s="52"/>
      <c r="N26" s="52"/>
      <c r="O26" s="52"/>
      <c r="P26" s="52"/>
      <c r="Q26" s="52"/>
      <c r="R26" s="53"/>
      <c r="S26" s="53"/>
      <c r="T26" s="53"/>
      <c r="U26" s="53"/>
      <c r="V26" s="53"/>
      <c r="W26" s="53"/>
      <c r="X26" s="53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6"/>
      <c r="BL26" s="56"/>
      <c r="BM26" s="56"/>
      <c r="BN26" s="56"/>
      <c r="BO26" s="56"/>
      <c r="BP26" s="56"/>
      <c r="BQ26" s="56"/>
      <c r="BR26" s="56"/>
      <c r="BS26" s="56"/>
    </row>
    <row r="27" spans="1:71" ht="22" customHeight="1" x14ac:dyDescent="0.35">
      <c r="A27" s="13" t="s">
        <v>136</v>
      </c>
      <c r="B27" s="3" t="s">
        <v>137</v>
      </c>
      <c r="C27" s="13" t="s">
        <v>62</v>
      </c>
      <c r="D27" s="14">
        <v>15</v>
      </c>
      <c r="E27" s="47">
        <v>46266</v>
      </c>
      <c r="F27" s="47">
        <v>46280</v>
      </c>
      <c r="G27" s="13" t="s">
        <v>97</v>
      </c>
      <c r="H27" s="15" t="s">
        <v>81</v>
      </c>
      <c r="I27" s="20">
        <f ca="1">IF(TODAY() &lt; E27, 0, IF(TODAY() &gt;= F27, 1, (TODAY() - E27) / D27))</f>
        <v>0</v>
      </c>
      <c r="J27" s="20">
        <f>IF(H27="Complete", 1, IF(H27="In Progress", 0.5, 0))</f>
        <v>1</v>
      </c>
      <c r="K27" s="44" t="s">
        <v>82</v>
      </c>
      <c r="L27" s="3" t="s">
        <v>138</v>
      </c>
      <c r="M27" s="52"/>
      <c r="N27" s="52"/>
      <c r="O27" s="52"/>
      <c r="P27" s="52"/>
      <c r="Q27" s="52"/>
      <c r="R27" s="53"/>
      <c r="S27" s="53"/>
      <c r="T27" s="53"/>
      <c r="U27" s="52"/>
      <c r="V27" s="52"/>
      <c r="W27" s="52"/>
      <c r="X27" s="52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</row>
    <row r="28" spans="1:71" ht="22" customHeight="1" x14ac:dyDescent="0.35">
      <c r="A28" s="16" t="s">
        <v>139</v>
      </c>
      <c r="B28" s="17" t="s">
        <v>140</v>
      </c>
      <c r="C28" s="16" t="s">
        <v>62</v>
      </c>
      <c r="D28" s="14">
        <v>30</v>
      </c>
      <c r="E28" s="47">
        <v>46341</v>
      </c>
      <c r="F28" s="47">
        <v>46371</v>
      </c>
      <c r="G28" s="16" t="s">
        <v>136</v>
      </c>
      <c r="H28" s="15" t="s">
        <v>63</v>
      </c>
      <c r="I28" s="20">
        <f ca="1">IF(TODAY() &lt; E28, 0, IF(TODAY() &gt;= F28, 1, (TODAY() - E28) / D28))</f>
        <v>0</v>
      </c>
      <c r="J28" s="20">
        <f>IF(H28="Complete", 1, IF(H28="In Progress", 0.5, 0))</f>
        <v>0.5</v>
      </c>
      <c r="K28" s="45" t="s">
        <v>122</v>
      </c>
      <c r="L28" s="17" t="s">
        <v>141</v>
      </c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6"/>
      <c r="Z28" s="56"/>
      <c r="AA28" s="56"/>
      <c r="AB28" s="56"/>
      <c r="AC28" s="56"/>
      <c r="AD28" s="55"/>
      <c r="AE28" s="55"/>
      <c r="AF28" s="55"/>
      <c r="AG28" s="55"/>
      <c r="AH28" s="55"/>
      <c r="AI28" s="55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</row>
    <row r="29" spans="1:71" ht="22" customHeight="1" x14ac:dyDescent="0.35">
      <c r="A29" s="13" t="s">
        <v>142</v>
      </c>
      <c r="B29" s="3" t="s">
        <v>143</v>
      </c>
      <c r="C29" s="13" t="s">
        <v>62</v>
      </c>
      <c r="D29" s="14">
        <v>167</v>
      </c>
      <c r="E29" s="47">
        <v>46374</v>
      </c>
      <c r="F29" s="47">
        <v>46541</v>
      </c>
      <c r="G29" s="13" t="s">
        <v>139</v>
      </c>
      <c r="H29" s="15" t="s">
        <v>118</v>
      </c>
      <c r="I29" s="20">
        <f ca="1">IF(TODAY() &lt; E29, 0, IF(TODAY() &gt;= F29, 1, (TODAY() - E29) / D29))</f>
        <v>0</v>
      </c>
      <c r="J29" s="20">
        <f>IF(H29="Complete", 1, IF(H29="In Progress", 0.5, 0))</f>
        <v>0</v>
      </c>
      <c r="K29" s="44" t="s">
        <v>144</v>
      </c>
      <c r="L29" s="3" t="s">
        <v>145</v>
      </c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6"/>
      <c r="BL29" s="56"/>
      <c r="BM29" s="56"/>
      <c r="BN29" s="56"/>
      <c r="BO29" s="56"/>
      <c r="BP29" s="56"/>
      <c r="BQ29" s="56"/>
      <c r="BR29" s="56"/>
      <c r="BS29" s="56"/>
    </row>
    <row r="30" spans="1:71" ht="22" customHeight="1" x14ac:dyDescent="0.35">
      <c r="A30" s="10" t="s">
        <v>146</v>
      </c>
      <c r="B30" s="11" t="s">
        <v>147</v>
      </c>
      <c r="C30" s="10" t="s">
        <v>62</v>
      </c>
      <c r="D30" s="12">
        <f>SUM(D31:D33)</f>
        <v>21</v>
      </c>
      <c r="E30" s="46">
        <v>46496</v>
      </c>
      <c r="F30" s="46">
        <v>46569</v>
      </c>
      <c r="G30" s="10" t="s">
        <v>142</v>
      </c>
      <c r="H30" s="10" t="s">
        <v>118</v>
      </c>
      <c r="I30" s="19">
        <f ca="1">SUMPRODUCT(D31:D33, I31:I33)/D30</f>
        <v>0</v>
      </c>
      <c r="J30" s="19">
        <f>SUMPRODUCT(D31:D33, J31:J33)/D30</f>
        <v>0</v>
      </c>
      <c r="K30" s="43" t="s">
        <v>144</v>
      </c>
      <c r="L30" s="11" t="s">
        <v>148</v>
      </c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6"/>
      <c r="BQ30" s="56"/>
      <c r="BR30" s="56"/>
      <c r="BS30" s="56"/>
    </row>
    <row r="31" spans="1:71" ht="22" customHeight="1" x14ac:dyDescent="0.35">
      <c r="A31" s="13" t="s">
        <v>149</v>
      </c>
      <c r="B31" s="3" t="s">
        <v>150</v>
      </c>
      <c r="C31" s="13" t="s">
        <v>86</v>
      </c>
      <c r="D31" s="14">
        <v>15</v>
      </c>
      <c r="E31" s="47">
        <v>46539</v>
      </c>
      <c r="F31" s="47">
        <v>46553</v>
      </c>
      <c r="G31" s="13" t="s">
        <v>151</v>
      </c>
      <c r="H31" s="15" t="s">
        <v>118</v>
      </c>
      <c r="I31" s="20">
        <f ca="1">IF(TODAY() &lt; E31, 0, IF(TODAY() &gt;= F31, 1, (TODAY() - E31) / D31))</f>
        <v>0</v>
      </c>
      <c r="J31" s="20">
        <f>IF(H31="Complete", 1, IF(H31="In Progress", 0.5, 0))</f>
        <v>0</v>
      </c>
      <c r="K31" s="44" t="s">
        <v>144</v>
      </c>
      <c r="L31" s="3" t="s">
        <v>152</v>
      </c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5"/>
      <c r="BK31" s="55"/>
      <c r="BL31" s="55"/>
      <c r="BM31" s="56"/>
      <c r="BN31" s="56"/>
      <c r="BO31" s="56"/>
      <c r="BP31" s="56"/>
      <c r="BQ31" s="56"/>
      <c r="BR31" s="56"/>
      <c r="BS31" s="56"/>
    </row>
    <row r="32" spans="1:71" ht="22" customHeight="1" x14ac:dyDescent="0.35">
      <c r="A32" s="16" t="s">
        <v>151</v>
      </c>
      <c r="B32" s="17" t="s">
        <v>153</v>
      </c>
      <c r="C32" s="16" t="s">
        <v>62</v>
      </c>
      <c r="D32" s="14">
        <v>5</v>
      </c>
      <c r="E32" s="47">
        <v>46563</v>
      </c>
      <c r="F32" s="47">
        <v>46568</v>
      </c>
      <c r="G32" s="16" t="s">
        <v>149</v>
      </c>
      <c r="H32" s="15" t="s">
        <v>118</v>
      </c>
      <c r="I32" s="20">
        <f ca="1">IF(TODAY() &lt; E32, 0, IF(TODAY() &gt;= F32, 1, (TODAY() - E32) / D32))</f>
        <v>0</v>
      </c>
      <c r="J32" s="20">
        <f>IF(H32="Complete", 1, IF(H32="In Progress", 0.5, 0))</f>
        <v>0</v>
      </c>
      <c r="K32" s="45" t="s">
        <v>144</v>
      </c>
      <c r="L32" s="17" t="s">
        <v>154</v>
      </c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5"/>
      <c r="BN32" s="55"/>
      <c r="BO32" s="56"/>
      <c r="BP32" s="56"/>
      <c r="BQ32" s="56"/>
      <c r="BR32" s="56"/>
      <c r="BS32" s="56"/>
    </row>
    <row r="33" spans="1:71" ht="22" customHeight="1" x14ac:dyDescent="0.35">
      <c r="A33" s="13" t="s">
        <v>155</v>
      </c>
      <c r="B33" s="3" t="s">
        <v>156</v>
      </c>
      <c r="C33" s="13" t="s">
        <v>62</v>
      </c>
      <c r="D33" s="14">
        <v>1</v>
      </c>
      <c r="E33" s="47">
        <v>46569</v>
      </c>
      <c r="F33" s="47">
        <v>46569</v>
      </c>
      <c r="G33" s="13" t="s">
        <v>151</v>
      </c>
      <c r="H33" s="15" t="s">
        <v>118</v>
      </c>
      <c r="I33" s="20">
        <f ca="1">IF(TODAY() &lt; E33, 0, IF(TODAY() &gt;= F33, 1, (TODAY() - E33) / D33))</f>
        <v>0</v>
      </c>
      <c r="J33" s="20">
        <f>IF(H33="Complete", 1, IF(H33="In Progress", 0.5, 0))</f>
        <v>0</v>
      </c>
      <c r="K33" s="44" t="s">
        <v>144</v>
      </c>
      <c r="L33" s="3" t="s">
        <v>157</v>
      </c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5"/>
      <c r="BP33" s="56"/>
      <c r="BQ33" s="56"/>
      <c r="BR33" s="56"/>
      <c r="BS33" s="56"/>
    </row>
    <row r="34" spans="1:71" ht="22" customHeight="1" x14ac:dyDescent="0.35">
      <c r="A34" s="10" t="s">
        <v>158</v>
      </c>
      <c r="B34" s="11" t="s">
        <v>159</v>
      </c>
      <c r="C34" s="10" t="s">
        <v>62</v>
      </c>
      <c r="D34" s="12">
        <f>SUM(D35:D36)</f>
        <v>60</v>
      </c>
      <c r="E34" s="46">
        <v>46539</v>
      </c>
      <c r="F34" s="46">
        <v>46599</v>
      </c>
      <c r="G34" s="10" t="s">
        <v>155</v>
      </c>
      <c r="H34" s="10" t="s">
        <v>118</v>
      </c>
      <c r="I34" s="19">
        <f ca="1">SUMPRODUCT(D35:D36, I35:I36)/D34</f>
        <v>0</v>
      </c>
      <c r="J34" s="19">
        <f>SUMPRODUCT(D35:D36, J35:J36)/D34</f>
        <v>0</v>
      </c>
      <c r="K34" s="43" t="s">
        <v>144</v>
      </c>
      <c r="L34" s="11" t="s">
        <v>160</v>
      </c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5"/>
      <c r="BK34" s="55"/>
      <c r="BL34" s="55"/>
      <c r="BM34" s="55"/>
      <c r="BN34" s="55"/>
      <c r="BO34" s="55"/>
      <c r="BP34" s="55"/>
      <c r="BQ34" s="55"/>
      <c r="BR34" s="55"/>
      <c r="BS34" s="55"/>
    </row>
    <row r="35" spans="1:71" ht="22" customHeight="1" x14ac:dyDescent="0.35">
      <c r="A35" s="13" t="s">
        <v>161</v>
      </c>
      <c r="B35" s="3" t="s">
        <v>162</v>
      </c>
      <c r="C35" s="13" t="s">
        <v>86</v>
      </c>
      <c r="D35" s="14">
        <v>30</v>
      </c>
      <c r="E35" s="47">
        <v>46539</v>
      </c>
      <c r="F35" s="47">
        <v>46568</v>
      </c>
      <c r="G35" s="13" t="s">
        <v>130</v>
      </c>
      <c r="H35" s="15" t="s">
        <v>118</v>
      </c>
      <c r="I35" s="20">
        <f ca="1">IF(TODAY() &lt; E35, 0, IF(TODAY() &gt;= F35, 1, (TODAY() - E35) / D35))</f>
        <v>0</v>
      </c>
      <c r="J35" s="20">
        <f>IF(H35="Complete", 1, IF(H35="In Progress", 0.5, 0))</f>
        <v>0</v>
      </c>
      <c r="K35" s="44" t="s">
        <v>144</v>
      </c>
      <c r="L35" s="3" t="s">
        <v>163</v>
      </c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5"/>
      <c r="BK35" s="55"/>
      <c r="BL35" s="55"/>
      <c r="BM35" s="55"/>
      <c r="BN35" s="55"/>
      <c r="BO35" s="56"/>
      <c r="BP35" s="56"/>
      <c r="BQ35" s="56"/>
      <c r="BR35" s="56"/>
      <c r="BS35" s="56"/>
    </row>
    <row r="36" spans="1:71" ht="22" customHeight="1" x14ac:dyDescent="0.35">
      <c r="A36" s="16" t="s">
        <v>164</v>
      </c>
      <c r="B36" s="17" t="s">
        <v>165</v>
      </c>
      <c r="C36" s="16" t="s">
        <v>62</v>
      </c>
      <c r="D36" s="14">
        <v>30</v>
      </c>
      <c r="E36" s="47">
        <v>46569</v>
      </c>
      <c r="F36" s="47">
        <v>46599</v>
      </c>
      <c r="G36" s="16" t="s">
        <v>155</v>
      </c>
      <c r="H36" s="15" t="s">
        <v>118</v>
      </c>
      <c r="I36" s="20">
        <f ca="1">IF(TODAY() &lt; E36, 0, IF(TODAY() &gt;= F36, 1, (TODAY() - E36) / D36))</f>
        <v>0</v>
      </c>
      <c r="J36" s="20">
        <f>IF(H36="Complete", 1, IF(H36="In Progress", 0.5, 0))</f>
        <v>0</v>
      </c>
      <c r="K36" s="45" t="s">
        <v>144</v>
      </c>
      <c r="L36" s="17" t="s">
        <v>166</v>
      </c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5"/>
      <c r="BP36" s="55"/>
      <c r="BQ36" s="55"/>
      <c r="BR36" s="55"/>
      <c r="BS36" s="55"/>
    </row>
  </sheetData>
  <mergeCells count="13">
    <mergeCell ref="A1:BT1"/>
    <mergeCell ref="BJ3:BN3"/>
    <mergeCell ref="AU3:AY3"/>
    <mergeCell ref="M3:Q3"/>
    <mergeCell ref="BO3:BS3"/>
    <mergeCell ref="R3:V3"/>
    <mergeCell ref="W3:AA3"/>
    <mergeCell ref="AQ3:AT3"/>
    <mergeCell ref="AB3:AF3"/>
    <mergeCell ref="AZ3:BD3"/>
    <mergeCell ref="BE3:BI3"/>
    <mergeCell ref="AL3:AP3"/>
    <mergeCell ref="AG3:AK3"/>
  </mergeCells>
  <conditionalFormatting sqref="M5:X36">
    <cfRule type="cellIs" dxfId="0" priority="1" operator="equal">
      <formula>"■"</formula>
    </cfRule>
  </conditionalFormatting>
  <dataValidations count="2">
    <dataValidation type="list" allowBlank="1" errorTitle="Invalid Entry" error="Your entry is not in the list" promptTitle="Task Status" prompt="Select status from list" sqref="H5:H36" xr:uid="{00000000-0002-0000-0100-000000000000}">
      <formula1>"Not Started,In Progress,Complete,Blocked"</formula1>
    </dataValidation>
    <dataValidation type="list" allowBlank="1" errorTitle="Invalid Entry" error="Your entry is not in the list" promptTitle="Ownership Group" prompt="Select ownership" sqref="C5:C36" xr:uid="{00000000-0002-0000-0100-000001000000}">
      <formula1>"APM Team,SAP Team,Shared"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2" customWidth="1"/>
    <col min="2" max="2" width="15" customWidth="1"/>
    <col min="3" max="3" width="38" customWidth="1"/>
    <col min="4" max="4" width="14" customWidth="1"/>
    <col min="5" max="6" width="22" customWidth="1"/>
    <col min="7" max="7" width="15" customWidth="1"/>
    <col min="8" max="9" width="12" customWidth="1"/>
    <col min="10" max="10" width="85" customWidth="1"/>
  </cols>
  <sheetData>
    <row r="1" spans="1:10" ht="40" customHeight="1" x14ac:dyDescent="0.35">
      <c r="A1" s="62" t="s">
        <v>167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25" customHeight="1" x14ac:dyDescent="0.35">
      <c r="A2" s="21" t="s">
        <v>27</v>
      </c>
      <c r="B2" s="22" t="s">
        <v>28</v>
      </c>
      <c r="C2" s="23">
        <f>COUNTA(A5:A17)</f>
        <v>13</v>
      </c>
      <c r="D2" s="22" t="s">
        <v>168</v>
      </c>
      <c r="E2" s="24">
        <f>COUNTIF(G5:G17, "Complete")/COUNTA(A5:A17)</f>
        <v>0</v>
      </c>
    </row>
    <row r="3" spans="1:10" ht="15" customHeight="1" x14ac:dyDescent="0.35"/>
    <row r="4" spans="1:10" ht="28" customHeight="1" x14ac:dyDescent="0.35">
      <c r="A4" s="25" t="s">
        <v>43</v>
      </c>
      <c r="B4" s="25" t="s">
        <v>169</v>
      </c>
      <c r="C4" s="25" t="s">
        <v>44</v>
      </c>
      <c r="D4" s="25" t="s">
        <v>45</v>
      </c>
      <c r="E4" s="25" t="s">
        <v>170</v>
      </c>
      <c r="F4" s="25" t="s">
        <v>171</v>
      </c>
      <c r="G4" s="25" t="s">
        <v>50</v>
      </c>
      <c r="H4" s="25" t="s">
        <v>51</v>
      </c>
      <c r="I4" s="25" t="s">
        <v>52</v>
      </c>
      <c r="J4" s="25" t="s">
        <v>172</v>
      </c>
    </row>
    <row r="5" spans="1:10" ht="22" customHeight="1" x14ac:dyDescent="0.35">
      <c r="A5" s="26" t="s">
        <v>173</v>
      </c>
      <c r="B5" s="27" t="s">
        <v>174</v>
      </c>
      <c r="C5" s="28" t="s">
        <v>175</v>
      </c>
      <c r="D5" s="29" t="s">
        <v>86</v>
      </c>
      <c r="E5" s="30">
        <v>46361</v>
      </c>
      <c r="F5" s="30">
        <v>46374.999305555553</v>
      </c>
      <c r="G5" s="29" t="s">
        <v>118</v>
      </c>
      <c r="H5" s="31">
        <f t="shared" ref="H5:H17" ca="1" si="0">IF(TODAY() &lt; E5, 0, IF(TODAY() &gt;= F5, 1, IF(F5=E5, 1, (TODAY() - E5) / (F5 - E5))))</f>
        <v>0</v>
      </c>
      <c r="I5" s="31">
        <f t="shared" ref="I5:I17" si="1">IF(G5="Complete", 1, IF(G5="In Progress", 0.5, 0))</f>
        <v>0</v>
      </c>
      <c r="J5" s="28" t="s">
        <v>176</v>
      </c>
    </row>
    <row r="6" spans="1:10" ht="22" customHeight="1" x14ac:dyDescent="0.35">
      <c r="A6" s="26" t="s">
        <v>177</v>
      </c>
      <c r="B6" s="27" t="s">
        <v>174</v>
      </c>
      <c r="C6" s="28" t="s">
        <v>178</v>
      </c>
      <c r="D6" s="29" t="s">
        <v>99</v>
      </c>
      <c r="E6" s="30">
        <v>46375</v>
      </c>
      <c r="F6" s="30">
        <v>46377.999305555553</v>
      </c>
      <c r="G6" s="29" t="s">
        <v>118</v>
      </c>
      <c r="H6" s="31">
        <f t="shared" ca="1" si="0"/>
        <v>0</v>
      </c>
      <c r="I6" s="31">
        <f t="shared" si="1"/>
        <v>0</v>
      </c>
      <c r="J6" s="28" t="s">
        <v>179</v>
      </c>
    </row>
    <row r="7" spans="1:10" ht="22" customHeight="1" x14ac:dyDescent="0.35">
      <c r="A7" s="26" t="s">
        <v>180</v>
      </c>
      <c r="B7" s="27" t="s">
        <v>174</v>
      </c>
      <c r="C7" s="28" t="s">
        <v>181</v>
      </c>
      <c r="D7" s="29" t="s">
        <v>99</v>
      </c>
      <c r="E7" s="30">
        <v>46380.5</v>
      </c>
      <c r="F7" s="30">
        <v>46380.5</v>
      </c>
      <c r="G7" s="29" t="s">
        <v>118</v>
      </c>
      <c r="H7" s="31">
        <f t="shared" ca="1" si="0"/>
        <v>0</v>
      </c>
      <c r="I7" s="31">
        <f t="shared" si="1"/>
        <v>0</v>
      </c>
      <c r="J7" s="28" t="s">
        <v>182</v>
      </c>
    </row>
    <row r="8" spans="1:10" ht="22" customHeight="1" x14ac:dyDescent="0.35">
      <c r="A8" s="26" t="s">
        <v>183</v>
      </c>
      <c r="B8" s="27" t="s">
        <v>174</v>
      </c>
      <c r="C8" s="28" t="s">
        <v>184</v>
      </c>
      <c r="D8" s="29" t="s">
        <v>86</v>
      </c>
      <c r="E8" s="30">
        <v>46380.500694444447</v>
      </c>
      <c r="F8" s="30">
        <v>46380.500694444447</v>
      </c>
      <c r="G8" s="29" t="s">
        <v>118</v>
      </c>
      <c r="H8" s="31">
        <f t="shared" ca="1" si="0"/>
        <v>0</v>
      </c>
      <c r="I8" s="31">
        <f t="shared" si="1"/>
        <v>0</v>
      </c>
      <c r="J8" s="28" t="s">
        <v>185</v>
      </c>
    </row>
    <row r="9" spans="1:10" ht="22" customHeight="1" x14ac:dyDescent="0.35">
      <c r="A9" s="26" t="s">
        <v>186</v>
      </c>
      <c r="B9" s="27" t="s">
        <v>174</v>
      </c>
      <c r="C9" s="28" t="s">
        <v>187</v>
      </c>
      <c r="D9" s="29" t="s">
        <v>99</v>
      </c>
      <c r="E9" s="30">
        <v>46381.333333333343</v>
      </c>
      <c r="F9" s="30">
        <v>46381.708333333343</v>
      </c>
      <c r="G9" s="29" t="s">
        <v>118</v>
      </c>
      <c r="H9" s="31">
        <f t="shared" ca="1" si="0"/>
        <v>0</v>
      </c>
      <c r="I9" s="31">
        <f t="shared" si="1"/>
        <v>0</v>
      </c>
      <c r="J9" s="28" t="s">
        <v>188</v>
      </c>
    </row>
    <row r="10" spans="1:10" ht="22" customHeight="1" x14ac:dyDescent="0.35">
      <c r="A10" s="26" t="s">
        <v>189</v>
      </c>
      <c r="B10" s="27" t="s">
        <v>174</v>
      </c>
      <c r="C10" s="28" t="s">
        <v>190</v>
      </c>
      <c r="D10" s="29" t="s">
        <v>99</v>
      </c>
      <c r="E10" s="30">
        <v>46381.750694444447</v>
      </c>
      <c r="F10" s="30">
        <v>46387.999305555553</v>
      </c>
      <c r="G10" s="29" t="s">
        <v>118</v>
      </c>
      <c r="H10" s="31">
        <f t="shared" ca="1" si="0"/>
        <v>0</v>
      </c>
      <c r="I10" s="31">
        <f t="shared" si="1"/>
        <v>0</v>
      </c>
      <c r="J10" s="28" t="s">
        <v>191</v>
      </c>
    </row>
    <row r="11" spans="1:10" ht="22" customHeight="1" x14ac:dyDescent="0.35">
      <c r="A11" s="26" t="s">
        <v>192</v>
      </c>
      <c r="B11" s="32" t="s">
        <v>193</v>
      </c>
      <c r="C11" s="28" t="s">
        <v>194</v>
      </c>
      <c r="D11" s="29" t="s">
        <v>99</v>
      </c>
      <c r="E11" s="30">
        <v>46382.333333333343</v>
      </c>
      <c r="F11" s="30">
        <v>46382.333333333343</v>
      </c>
      <c r="G11" s="29" t="s">
        <v>118</v>
      </c>
      <c r="H11" s="31">
        <f t="shared" ca="1" si="0"/>
        <v>0</v>
      </c>
      <c r="I11" s="31">
        <f t="shared" si="1"/>
        <v>0</v>
      </c>
      <c r="J11" s="28" t="s">
        <v>195</v>
      </c>
    </row>
    <row r="12" spans="1:10" ht="22" customHeight="1" x14ac:dyDescent="0.35">
      <c r="A12" s="26" t="s">
        <v>196</v>
      </c>
      <c r="B12" s="32" t="s">
        <v>193</v>
      </c>
      <c r="C12" s="28" t="s">
        <v>197</v>
      </c>
      <c r="D12" s="29" t="s">
        <v>86</v>
      </c>
      <c r="E12" s="30">
        <v>46382.333333333343</v>
      </c>
      <c r="F12" s="30">
        <v>46388.333333333343</v>
      </c>
      <c r="G12" s="29" t="s">
        <v>118</v>
      </c>
      <c r="H12" s="31">
        <f t="shared" ca="1" si="0"/>
        <v>0</v>
      </c>
      <c r="I12" s="31">
        <f t="shared" si="1"/>
        <v>0</v>
      </c>
      <c r="J12" s="28" t="s">
        <v>198</v>
      </c>
    </row>
    <row r="13" spans="1:10" ht="22" customHeight="1" x14ac:dyDescent="0.35">
      <c r="A13" s="26" t="s">
        <v>199</v>
      </c>
      <c r="B13" s="32" t="s">
        <v>193</v>
      </c>
      <c r="C13" s="28" t="s">
        <v>200</v>
      </c>
      <c r="D13" s="29" t="s">
        <v>86</v>
      </c>
      <c r="E13" s="30">
        <v>46382.333333333343</v>
      </c>
      <c r="F13" s="30">
        <v>46382.333333333343</v>
      </c>
      <c r="G13" s="29" t="s">
        <v>118</v>
      </c>
      <c r="H13" s="31">
        <f t="shared" ca="1" si="0"/>
        <v>0</v>
      </c>
      <c r="I13" s="31">
        <f t="shared" si="1"/>
        <v>0</v>
      </c>
      <c r="J13" s="28" t="s">
        <v>201</v>
      </c>
    </row>
    <row r="14" spans="1:10" ht="22" customHeight="1" x14ac:dyDescent="0.35">
      <c r="A14" s="26" t="s">
        <v>202</v>
      </c>
      <c r="B14" s="32" t="s">
        <v>193</v>
      </c>
      <c r="C14" s="28" t="s">
        <v>203</v>
      </c>
      <c r="D14" s="29" t="s">
        <v>86</v>
      </c>
      <c r="E14" s="30">
        <v>46382.416666666657</v>
      </c>
      <c r="F14" s="30">
        <v>46386.999305555553</v>
      </c>
      <c r="G14" s="29" t="s">
        <v>118</v>
      </c>
      <c r="H14" s="31">
        <f t="shared" ca="1" si="0"/>
        <v>0</v>
      </c>
      <c r="I14" s="31">
        <f t="shared" si="1"/>
        <v>0</v>
      </c>
      <c r="J14" s="28" t="s">
        <v>204</v>
      </c>
    </row>
    <row r="15" spans="1:10" ht="22" customHeight="1" x14ac:dyDescent="0.35">
      <c r="A15" s="26" t="s">
        <v>205</v>
      </c>
      <c r="B15" s="32" t="s">
        <v>193</v>
      </c>
      <c r="C15" s="28" t="s">
        <v>206</v>
      </c>
      <c r="D15" s="29" t="s">
        <v>86</v>
      </c>
      <c r="E15" s="30">
        <v>46385.541666666657</v>
      </c>
      <c r="F15" s="30">
        <v>46385.541666666657</v>
      </c>
      <c r="G15" s="29" t="s">
        <v>118</v>
      </c>
      <c r="H15" s="31">
        <f t="shared" ca="1" si="0"/>
        <v>0</v>
      </c>
      <c r="I15" s="31">
        <f t="shared" si="1"/>
        <v>0</v>
      </c>
      <c r="J15" s="28" t="s">
        <v>207</v>
      </c>
    </row>
    <row r="16" spans="1:10" ht="22" customHeight="1" x14ac:dyDescent="0.35">
      <c r="A16" s="26" t="s">
        <v>208</v>
      </c>
      <c r="B16" s="33" t="s">
        <v>209</v>
      </c>
      <c r="C16" s="28" t="s">
        <v>210</v>
      </c>
      <c r="D16" s="29" t="s">
        <v>86</v>
      </c>
      <c r="E16" s="30">
        <v>46391.334027777782</v>
      </c>
      <c r="F16" s="30">
        <v>46391.334027777782</v>
      </c>
      <c r="G16" s="29" t="s">
        <v>118</v>
      </c>
      <c r="H16" s="31">
        <f t="shared" ca="1" si="0"/>
        <v>0</v>
      </c>
      <c r="I16" s="31">
        <f t="shared" si="1"/>
        <v>0</v>
      </c>
      <c r="J16" s="28" t="s">
        <v>211</v>
      </c>
    </row>
    <row r="17" spans="1:10" ht="22" customHeight="1" x14ac:dyDescent="0.35">
      <c r="A17" s="26" t="s">
        <v>212</v>
      </c>
      <c r="B17" s="33" t="s">
        <v>209</v>
      </c>
      <c r="C17" s="28" t="s">
        <v>213</v>
      </c>
      <c r="D17" s="29" t="s">
        <v>62</v>
      </c>
      <c r="E17" s="30">
        <v>46391</v>
      </c>
      <c r="F17" s="30">
        <v>46403.999305555553</v>
      </c>
      <c r="G17" s="29" t="s">
        <v>118</v>
      </c>
      <c r="H17" s="31">
        <f t="shared" ca="1" si="0"/>
        <v>0</v>
      </c>
      <c r="I17" s="31">
        <f t="shared" si="1"/>
        <v>0</v>
      </c>
      <c r="J17" s="28" t="s">
        <v>214</v>
      </c>
    </row>
  </sheetData>
  <mergeCells count="1">
    <mergeCell ref="A1:J1"/>
  </mergeCells>
  <dataValidations count="1">
    <dataValidation type="list" allowBlank="1" sqref="G5:G17" xr:uid="{00000000-0002-0000-0200-000000000000}">
      <formula1>"Not Started,In Progress,Complete,Blocked"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of Contents</vt:lpstr>
      <vt:lpstr>APM WBS Schedule</vt:lpstr>
      <vt:lpstr>MNT12 Detailed Cutover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Parinya Kamnoed</cp:lastModifiedBy>
  <dcterms:created xsi:type="dcterms:W3CDTF">2026-08-26T03:48:24Z</dcterms:created>
  <dcterms:modified xsi:type="dcterms:W3CDTF">2026-08-26T10:08:47Z</dcterms:modified>
</cp:coreProperties>
</file>