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of Contents" sheetId="1" state="visible" r:id="rId1"/>
    <sheet name="APM WBS Schedule" sheetId="2" state="visible" r:id="rId2"/>
    <sheet name="MNT12 Detailed Cutover 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 HH:MM"/>
    <numFmt numFmtId="166" formatCode="yyyy-mm-dd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1"/>
    </font>
    <font>
      <name val="Calibri"/>
      <b val="1"/>
      <color rgb="000563C1"/>
      <sz val="11"/>
      <u val="single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F4E78"/>
      <sz val="11"/>
    </font>
    <font>
      <name val="Calibri"/>
      <color rgb="00C00000"/>
      <sz val="11"/>
    </font>
    <font>
      <name val="Calibri"/>
      <color rgb="00375623"/>
      <sz val="11"/>
    </font>
    <font>
      <name val="Calibri"/>
      <color theme="1"/>
      <sz val="11"/>
    </font>
  </fonts>
  <fills count="1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D6DCE4"/>
        <bgColor rgb="00D6DCE4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F5496"/>
      </patternFill>
    </fill>
    <fill>
      <patternFill patternType="solid">
        <fgColor rgb="00D6DCE4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thin">
        <color rgb="00D9D9D9"/>
      </bottom>
    </border>
    <border>
      <top style="thin">
        <color rgb="00D9D9D9"/>
      </top>
      <bottom style="medium">
        <color rgb="00000000"/>
      </bottom>
    </border>
    <border>
      <left/>
      <right/>
      <top/>
      <bottom/>
    </border>
    <border>
      <left style="thin">
        <color rgb="00FFFFFF"/>
      </left>
      <right style="thin">
        <color rgb="00FFFFFF"/>
      </right>
      <top style="thin">
        <color rgb="00D9D9D9"/>
      </top>
      <bottom style="medium">
        <color rgb="002F5496"/>
      </bottom>
    </border>
    <border>
      <bottom style="thin">
        <color rgb="00D6DCE4"/>
      </bottom>
    </border>
    <border>
      <left style="thin">
        <color rgb="00D6DCE4"/>
      </left>
      <right style="thin">
        <color rgb="00D6DCE4"/>
      </right>
      <top style="thin">
        <color rgb="00D6DCE4"/>
      </top>
      <bottom style="thin">
        <color rgb="00D6DCE4"/>
      </bottom>
    </border>
    <border/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4" fillId="0" borderId="0" pivotButton="0" quotePrefix="0" xfId="0"/>
    <xf numFmtId="0" fontId="2" fillId="4" borderId="2" pivotButton="0" quotePrefix="0" xfId="0"/>
    <xf numFmtId="0" fontId="3" fillId="4" borderId="2" pivotButton="0" quotePrefix="0" xfId="0"/>
    <xf numFmtId="164" fontId="3" fillId="4" borderId="2" pivotButton="0" quotePrefix="0" xfId="0"/>
    <xf numFmtId="0" fontId="0" fillId="4" borderId="2" pivotButton="0" quotePrefix="0" xfId="0"/>
    <xf numFmtId="0" fontId="5" fillId="5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2" fillId="7" borderId="3" applyAlignment="1" pivotButton="0" quotePrefix="0" xfId="0">
      <alignment horizontal="center"/>
    </xf>
    <xf numFmtId="0" fontId="2" fillId="7" borderId="3" pivotButton="0" quotePrefix="0" xfId="0"/>
    <xf numFmtId="0" fontId="2" fillId="7" borderId="3" applyAlignment="1" pivotButton="0" quotePrefix="0" xfId="0">
      <alignment horizontal="right"/>
    </xf>
    <xf numFmtId="0" fontId="3" fillId="0" borderId="1" applyAlignment="1" pivotButton="0" quotePrefix="0" xfId="0">
      <alignment horizontal="center"/>
    </xf>
    <xf numFmtId="3" fontId="3" fillId="3" borderId="1" applyAlignment="1" pivotButton="0" quotePrefix="0" xfId="0">
      <alignment horizontal="right"/>
    </xf>
    <xf numFmtId="0" fontId="3" fillId="3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/>
    </xf>
    <xf numFmtId="0" fontId="3" fillId="9" borderId="1" pivotButton="0" quotePrefix="0" xfId="0"/>
    <xf numFmtId="0" fontId="2" fillId="4" borderId="2" applyAlignment="1" pivotButton="0" quotePrefix="0" xfId="0">
      <alignment horizontal="right"/>
    </xf>
    <xf numFmtId="164" fontId="3" fillId="4" borderId="2" applyAlignment="1" pivotButton="0" quotePrefix="0" xfId="0">
      <alignment horizontal="left"/>
    </xf>
    <xf numFmtId="0" fontId="5" fillId="5" borderId="4" applyAlignment="1" pivotButton="0" quotePrefix="0" xfId="0">
      <alignment horizontal="center" vertical="center"/>
    </xf>
    <xf numFmtId="164" fontId="2" fillId="7" borderId="3" applyAlignment="1" pivotButton="0" quotePrefix="0" xfId="0">
      <alignment horizontal="right" vertical="center"/>
    </xf>
    <xf numFmtId="164" fontId="3" fillId="8" borderId="1" applyAlignment="1" pivotButton="0" quotePrefix="0" xfId="0">
      <alignment horizontal="right" vertical="center"/>
    </xf>
    <xf numFmtId="0" fontId="1" fillId="10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0" fontId="8" fillId="1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2" fillId="16" borderId="2" pivotButton="0" quotePrefix="0" xfId="0"/>
    <xf numFmtId="0" fontId="3" fillId="16" borderId="2" pivotButton="0" quotePrefix="0" xfId="0"/>
    <xf numFmtId="0" fontId="2" fillId="16" borderId="2" applyAlignment="1" pivotButton="0" quotePrefix="0" xfId="0">
      <alignment horizontal="right"/>
    </xf>
    <xf numFmtId="164" fontId="3" fillId="16" borderId="2" applyAlignment="1" pivotButton="0" quotePrefix="0" xfId="0">
      <alignment horizontal="left"/>
    </xf>
    <xf numFmtId="0" fontId="0" fillId="16" borderId="2" pivotButton="0" quotePrefix="0" xfId="0"/>
    <xf numFmtId="0" fontId="0" fillId="16" borderId="0" pivotButton="0" quotePrefix="0" xfId="0"/>
    <xf numFmtId="0" fontId="10" fillId="16" borderId="2" pivotButton="0" quotePrefix="0" xfId="0"/>
    <xf numFmtId="0" fontId="6" fillId="13" borderId="0" applyAlignment="1" pivotButton="0" quotePrefix="0" xfId="0">
      <alignment horizontal="center" vertical="center"/>
    </xf>
    <xf numFmtId="0" fontId="5" fillId="5" borderId="4" applyAlignment="1" pivotButton="0" quotePrefix="0" xfId="0">
      <alignment horizontal="left" vertical="center" wrapText="1"/>
    </xf>
    <xf numFmtId="0" fontId="6" fillId="13" borderId="0" applyAlignment="1" pivotButton="0" quotePrefix="0" xfId="0">
      <alignment horizontal="center" vertical="center" wrapText="1"/>
    </xf>
    <xf numFmtId="0" fontId="2" fillId="14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15" borderId="8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6" fontId="2" fillId="7" borderId="3" applyAlignment="1" pivotButton="0" quotePrefix="0" xfId="0">
      <alignment horizontal="center"/>
    </xf>
    <xf numFmtId="166" fontId="3" fillId="3" borderId="1" applyAlignment="1" pivotButton="0" quotePrefix="0" xfId="0">
      <alignment horizontal="center"/>
    </xf>
  </cellXfs>
  <cellStyles count="1">
    <cellStyle name="Normal" xfId="0" builtinId="0" hidden="0"/>
  </cellStyles>
  <dxfs count="1">
    <dxf>
      <font>
        <name val="Calibri"/>
        <b val="1"/>
        <color rgb="008FAADC"/>
        <sz val="9"/>
      </font>
      <fill>
        <patternFill patternType="solid">
          <f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APM WBS Schedule'!A1" TargetMode="External" Id="rId1" /><Relationship Type="http://schemas.openxmlformats.org/officeDocument/2006/relationships/hyperlink" Target="#'MNT12 Detailed Cutover Plan'!A1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 ht="40" customHeight="1">
      <c r="A1" s="1" t="inlineStr">
        <is>
          <t>EP APM S/4HANA Integration WBS Master Template</t>
        </is>
      </c>
    </row>
    <row r="3">
      <c r="A3" s="2" t="inlineStr">
        <is>
          <t>Document Control &amp; Metadata</t>
        </is>
      </c>
    </row>
    <row r="4">
      <c r="A4" s="3" t="inlineStr">
        <is>
          <t>Project Name</t>
        </is>
      </c>
      <c r="B4" s="4" t="inlineStr">
        <is>
          <t>PTTEP S/4HANA Implementation (SHANA)</t>
        </is>
      </c>
    </row>
    <row r="5">
      <c r="A5" s="3" t="inlineStr">
        <is>
          <t>Application Name</t>
        </is>
      </c>
      <c r="B5" s="4" t="inlineStr">
        <is>
          <t>EP APM (Asset Performance Management)</t>
        </is>
      </c>
    </row>
    <row r="6">
      <c r="A6" s="3" t="inlineStr">
        <is>
          <t>Version</t>
        </is>
      </c>
      <c r="B6" s="4" t="inlineStr">
        <is>
          <t>v3.0 (Mock column &amp; Gantt Chart integrated)</t>
        </is>
      </c>
    </row>
    <row r="7">
      <c r="A7" s="3" t="inlineStr">
        <is>
          <t>Target Go-Live Date</t>
        </is>
      </c>
      <c r="B7" s="4" t="inlineStr">
        <is>
          <t>July 1, 2027</t>
        </is>
      </c>
    </row>
    <row r="8">
      <c r="A8" s="3" t="inlineStr">
        <is>
          <t>Primary Contact</t>
        </is>
      </c>
      <c r="B8" s="4" t="inlineStr">
        <is>
          <t>ITPM APM Workstream</t>
        </is>
      </c>
    </row>
    <row r="9">
      <c r="A9" s="3" t="inlineStr">
        <is>
          <t>Generated Date</t>
        </is>
      </c>
      <c r="B9" s="4" t="inlineStr">
        <is>
          <t>August 2026</t>
        </is>
      </c>
    </row>
    <row r="12">
      <c r="A12" s="2" t="inlineStr">
        <is>
          <t>Formatting Legend</t>
        </is>
      </c>
    </row>
    <row r="13">
      <c r="A13" s="5" t="inlineStr">
        <is>
          <t>Input Cell</t>
        </is>
      </c>
      <c r="B13" s="4" t="inlineStr">
        <is>
          <t>User-editable fields (dates, duration, status)</t>
        </is>
      </c>
    </row>
    <row r="14">
      <c r="A14" s="6" t="inlineStr">
        <is>
          <t>Calculated Cell</t>
        </is>
      </c>
      <c r="B14" s="4" t="inlineStr">
        <is>
          <t>Summary data and percentage completion formulas</t>
        </is>
      </c>
    </row>
    <row r="15">
      <c r="A15" s="7" t="inlineStr">
        <is>
          <t>Section Header</t>
        </is>
      </c>
      <c r="B15" s="4" t="inlineStr">
        <is>
          <t>Workstream phase separations</t>
        </is>
      </c>
    </row>
    <row r="16">
      <c r="A16" s="8" t="inlineStr">
        <is>
          <t>Standard Row</t>
        </is>
      </c>
      <c r="B16" s="4" t="inlineStr">
        <is>
          <t>Task listings and detailed rationale</t>
        </is>
      </c>
    </row>
    <row r="19">
      <c r="A19" s="2" t="inlineStr">
        <is>
          <t>Navigational Link</t>
        </is>
      </c>
    </row>
    <row r="20">
      <c r="A20" s="9" t="inlineStr">
        <is>
          <t>Go to APM WBS Schedule →</t>
        </is>
      </c>
    </row>
    <row r="21">
      <c r="A21" s="9" t="inlineStr">
        <is>
          <t>Go to MNT12 Detailed Cutover Plan →</t>
        </is>
      </c>
    </row>
  </sheetData>
  <mergeCells count="1">
    <mergeCell ref="A1:E1"/>
  </mergeCells>
  <hyperlinks>
    <hyperlink xmlns:r="http://schemas.openxmlformats.org/officeDocument/2006/relationships" ref="A20" r:id="rId1"/>
    <hyperlink xmlns:r="http://schemas.openxmlformats.org/officeDocument/2006/relationships" ref="A21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5" customWidth="1" min="3" max="3"/>
    <col width="25" customWidth="1" min="4" max="4"/>
    <col width="2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4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</cols>
  <sheetData>
    <row r="1" ht="40" customHeight="1">
      <c r="A1" s="1" t="inlineStr">
        <is>
          <t>PTTEP EP APM S/4HANA Integration - Work Breakdown Structure (WBS)</t>
        </is>
      </c>
    </row>
    <row r="2" ht="25" customHeight="1">
      <c r="A2" s="44" t="inlineStr">
        <is>
          <t>KPI Metrics</t>
        </is>
      </c>
      <c r="B2" s="44" t="inlineStr">
        <is>
          <t>Total Tasks:</t>
        </is>
      </c>
      <c r="C2" s="45">
        <f>COUNTA(A5:A100)</f>
        <v/>
      </c>
      <c r="D2" s="46" t="inlineStr">
        <is>
          <t>Project Plan %:</t>
        </is>
      </c>
      <c r="E2" s="47">
        <f>I5</f>
        <v/>
      </c>
      <c r="F2" s="46" t="inlineStr">
        <is>
          <t>Project Actual %:</t>
        </is>
      </c>
      <c r="G2" s="47">
        <f>J5</f>
        <v/>
      </c>
      <c r="H2" s="48" t="n"/>
      <c r="I2" s="49" t="n"/>
      <c r="J2" s="49" t="n"/>
      <c r="K2" s="48" t="n"/>
      <c r="L2" s="50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9" t="n"/>
      <c r="X2" s="49" t="n"/>
    </row>
    <row r="3" ht="10" customHeight="1"/>
    <row r="4" ht="30" customHeight="1">
      <c r="A4" s="14" t="inlineStr">
        <is>
          <t>WBS Code</t>
        </is>
      </c>
      <c r="B4" s="14" t="inlineStr">
        <is>
          <t>Task Description</t>
        </is>
      </c>
      <c r="C4" s="14" t="inlineStr">
        <is>
          <t>Ownership</t>
        </is>
      </c>
      <c r="D4" s="14" t="inlineStr">
        <is>
          <t>Recommended Duration (Days)</t>
        </is>
      </c>
      <c r="E4" s="14" t="inlineStr">
        <is>
          <t>Planned Start Date</t>
        </is>
      </c>
      <c r="F4" s="14" t="inlineStr">
        <is>
          <t>Planned End Date</t>
        </is>
      </c>
      <c r="G4" s="14" t="inlineStr">
        <is>
          <t>Predecessors</t>
        </is>
      </c>
      <c r="H4" s="14" t="inlineStr">
        <is>
          <t>Status</t>
        </is>
      </c>
      <c r="I4" s="27" t="inlineStr">
        <is>
          <t>% Plan</t>
        </is>
      </c>
      <c r="J4" s="27" t="inlineStr">
        <is>
          <t>% Actual</t>
        </is>
      </c>
      <c r="K4" s="51" t="inlineStr">
        <is>
          <t>Mock Number</t>
        </is>
      </c>
      <c r="L4" s="52" t="inlineStr">
        <is>
          <t>Detailed ITPM Rationale &amp; Scope</t>
        </is>
      </c>
      <c r="M4" s="53" t="inlineStr">
        <is>
          <t>Aug '26</t>
        </is>
      </c>
      <c r="N4" s="53" t="inlineStr">
        <is>
          <t>Sep '26</t>
        </is>
      </c>
      <c r="O4" s="53" t="inlineStr">
        <is>
          <t>Oct '26</t>
        </is>
      </c>
      <c r="P4" s="53" t="inlineStr">
        <is>
          <t>Nov '26</t>
        </is>
      </c>
      <c r="Q4" s="53" t="inlineStr">
        <is>
          <t>Dec '26</t>
        </is>
      </c>
      <c r="R4" s="53" t="inlineStr">
        <is>
          <t>Jan '27</t>
        </is>
      </c>
      <c r="S4" s="53" t="inlineStr">
        <is>
          <t>Feb '27</t>
        </is>
      </c>
      <c r="T4" s="53" t="inlineStr">
        <is>
          <t>Mar '27</t>
        </is>
      </c>
      <c r="U4" s="53" t="inlineStr">
        <is>
          <t>Apr '27</t>
        </is>
      </c>
      <c r="V4" s="53" t="inlineStr">
        <is>
          <t>May '27</t>
        </is>
      </c>
      <c r="W4" s="53" t="inlineStr">
        <is>
          <t>Jun '27</t>
        </is>
      </c>
      <c r="X4" s="53" t="inlineStr">
        <is>
          <t>Jul '27</t>
        </is>
      </c>
    </row>
    <row r="5" ht="22" customHeight="1">
      <c r="A5" s="16" t="inlineStr">
        <is>
          <t>1.0</t>
        </is>
      </c>
      <c r="B5" s="17" t="inlineStr">
        <is>
          <t>EP APM S/4HANA Integration Project</t>
        </is>
      </c>
      <c r="C5" s="16" t="inlineStr">
        <is>
          <t>Shared</t>
        </is>
      </c>
      <c r="D5" s="18">
        <f>SUM(D6,D10,D14,D18,D22,D26,D30,D34)</f>
        <v/>
      </c>
      <c r="E5" s="59" t="n">
        <v>46255</v>
      </c>
      <c r="F5" s="59" t="n">
        <v>46599</v>
      </c>
      <c r="G5" s="16" t="inlineStr"/>
      <c r="H5" s="16" t="inlineStr">
        <is>
          <t>In Progress</t>
        </is>
      </c>
      <c r="I5" s="28">
        <f>(D6*I6 + D10*I10 + D14*I14 + D18*I18 + D22*I22 + D26*I26 + D30*I30 + D34*I34)/D5</f>
        <v/>
      </c>
      <c r="J5" s="28">
        <f>(D6*J6 + D10*J10 + D14*J14 + D18*J18 + D22*J22 + D26*J26 + D30*J30 + D34*J34)/D5</f>
        <v/>
      </c>
      <c r="K5" s="54" t="inlineStr">
        <is>
          <t>Mock 1, 2, 3</t>
        </is>
      </c>
      <c r="L5" s="17" t="inlineStr">
        <is>
          <t>Root baseline wrapping all deliverables for the APM S/4HANA cutover and go-live.</t>
        </is>
      </c>
      <c r="M5" s="55">
        <f>IF(AND($E5&lt;=DATE(2026,8,31), $F5&gt;=DATE(2026,8,1)), "■", "")</f>
        <v/>
      </c>
      <c r="N5" s="55">
        <f>IF(AND($E5&lt;=DATE(2026,9,30), $F5&gt;=DATE(2026,9,1)), "■", "")</f>
        <v/>
      </c>
      <c r="O5" s="55">
        <f>IF(AND($E5&lt;=DATE(2026,10,31), $F5&gt;=DATE(2026,10,1)), "■", "")</f>
        <v/>
      </c>
      <c r="P5" s="55">
        <f>IF(AND($E5&lt;=DATE(2026,11,30), $F5&gt;=DATE(2026,11,1)), "■", "")</f>
        <v/>
      </c>
      <c r="Q5" s="55">
        <f>IF(AND($E5&lt;=DATE(2026,12,31), $F5&gt;=DATE(2026,12,1)), "■", "")</f>
        <v/>
      </c>
      <c r="R5" s="55">
        <f>IF(AND($E5&lt;=DATE(2027,1,31), $F5&gt;=DATE(2027,1,1)), "■", "")</f>
        <v/>
      </c>
      <c r="S5" s="55">
        <f>IF(AND($E5&lt;=DATE(2027,2,28), $F5&gt;=DATE(2027,2,1)), "■", "")</f>
        <v/>
      </c>
      <c r="T5" s="55">
        <f>IF(AND($E5&lt;=DATE(2027,3,31), $F5&gt;=DATE(2027,3,1)), "■", "")</f>
        <v/>
      </c>
      <c r="U5" s="55">
        <f>IF(AND($E5&lt;=DATE(2027,4,30), $F5&gt;=DATE(2027,4,1)), "■", "")</f>
        <v/>
      </c>
      <c r="V5" s="55">
        <f>IF(AND($E5&lt;=DATE(2027,5,31), $F5&gt;=DATE(2027,5,1)), "■", "")</f>
        <v/>
      </c>
      <c r="W5" s="55">
        <f>IF(AND($E5&lt;=DATE(2027,6,30), $F5&gt;=DATE(2027,6,1)), "■", "")</f>
        <v/>
      </c>
      <c r="X5" s="55">
        <f>IF(AND($E5&lt;=DATE(2027,7,31), $F5&gt;=DATE(2027,7,1)), "■", "")</f>
        <v/>
      </c>
    </row>
    <row r="6" ht="22" customHeight="1">
      <c r="A6" s="16" t="inlineStr">
        <is>
          <t>1.1</t>
        </is>
      </c>
      <c r="B6" s="17" t="inlineStr">
        <is>
          <t>Project Management &amp; Governance</t>
        </is>
      </c>
      <c r="C6" s="16" t="inlineStr">
        <is>
          <t>Shared</t>
        </is>
      </c>
      <c r="D6" s="18">
        <f>SUM(D7:D9)</f>
        <v/>
      </c>
      <c r="E6" s="59" t="n">
        <v>46255</v>
      </c>
      <c r="F6" s="59" t="n">
        <v>46589</v>
      </c>
      <c r="G6" s="16" t="inlineStr"/>
      <c r="H6" s="16" t="inlineStr">
        <is>
          <t>In Progress</t>
        </is>
      </c>
      <c r="I6" s="28">
        <f>SUMPRODUCT(D7:D9, I7:I9)/D6</f>
        <v/>
      </c>
      <c r="J6" s="28">
        <f>SUMPRODUCT(D7:D9, J7:J9)/D6</f>
        <v/>
      </c>
      <c r="K6" s="54" t="inlineStr">
        <is>
          <t>N/A</t>
        </is>
      </c>
      <c r="L6" s="17" t="inlineStr">
        <is>
          <t>Continuous oversight, risk tracking, and PMO reporting.</t>
        </is>
      </c>
      <c r="M6" s="55">
        <f>IF(AND($E6&lt;=DATE(2026,8,31), $F6&gt;=DATE(2026,8,1)), "■", "")</f>
        <v/>
      </c>
      <c r="N6" s="55">
        <f>IF(AND($E6&lt;=DATE(2026,9,30), $F6&gt;=DATE(2026,9,1)), "■", "")</f>
        <v/>
      </c>
      <c r="O6" s="55">
        <f>IF(AND($E6&lt;=DATE(2026,10,31), $F6&gt;=DATE(2026,10,1)), "■", "")</f>
        <v/>
      </c>
      <c r="P6" s="55">
        <f>IF(AND($E6&lt;=DATE(2026,11,30), $F6&gt;=DATE(2026,11,1)), "■", "")</f>
        <v/>
      </c>
      <c r="Q6" s="55">
        <f>IF(AND($E6&lt;=DATE(2026,12,31), $F6&gt;=DATE(2026,12,1)), "■", "")</f>
        <v/>
      </c>
      <c r="R6" s="55">
        <f>IF(AND($E6&lt;=DATE(2027,1,31), $F6&gt;=DATE(2027,1,1)), "■", "")</f>
        <v/>
      </c>
      <c r="S6" s="55">
        <f>IF(AND($E6&lt;=DATE(2027,2,28), $F6&gt;=DATE(2027,2,1)), "■", "")</f>
        <v/>
      </c>
      <c r="T6" s="55">
        <f>IF(AND($E6&lt;=DATE(2027,3,31), $F6&gt;=DATE(2027,3,1)), "■", "")</f>
        <v/>
      </c>
      <c r="U6" s="55">
        <f>IF(AND($E6&lt;=DATE(2027,4,30), $F6&gt;=DATE(2027,4,1)), "■", "")</f>
        <v/>
      </c>
      <c r="V6" s="55">
        <f>IF(AND($E6&lt;=DATE(2027,5,31), $F6&gt;=DATE(2027,5,1)), "■", "")</f>
        <v/>
      </c>
      <c r="W6" s="55">
        <f>IF(AND($E6&lt;=DATE(2027,6,30), $F6&gt;=DATE(2027,6,1)), "■", "")</f>
        <v/>
      </c>
      <c r="X6" s="55">
        <f>IF(AND($E6&lt;=DATE(2027,7,31), $F6&gt;=DATE(2027,7,1)), "■", "")</f>
        <v/>
      </c>
    </row>
    <row r="7" ht="22" customHeight="1">
      <c r="A7" s="19" t="inlineStr">
        <is>
          <t>1.1.1</t>
        </is>
      </c>
      <c r="B7" s="4" t="inlineStr">
        <is>
          <t>Schedule &amp; Swimlane Synchronization</t>
        </is>
      </c>
      <c r="C7" s="19" t="inlineStr">
        <is>
          <t>Shared</t>
        </is>
      </c>
      <c r="D7" s="20" t="n">
        <v>334</v>
      </c>
      <c r="E7" s="60" t="n">
        <v>46255</v>
      </c>
      <c r="F7" s="60" t="n">
        <v>46589</v>
      </c>
      <c r="G7" s="19" t="inlineStr"/>
      <c r="H7" s="22" t="inlineStr">
        <is>
          <t>In Progress</t>
        </is>
      </c>
      <c r="I7" s="29">
        <f>IF(TODAY() &lt; E7, 0, IF(TODAY() &gt;= F7, 1, (TODAY() - E7) / D7))</f>
        <v/>
      </c>
      <c r="J7" s="29">
        <f>IF(H7="Complete", 1, IF(H7="In Progress", 0.5, 0))</f>
        <v/>
      </c>
      <c r="K7" s="56" t="inlineStr">
        <is>
          <t>N/A</t>
        </is>
      </c>
      <c r="L7" s="4" t="inlineStr">
        <is>
          <t>Aligning APM cutover timelines with corporate SHANA Key Dates.</t>
        </is>
      </c>
      <c r="M7" s="55">
        <f>IF(AND($E7&lt;=DATE(2026,8,31), $F7&gt;=DATE(2026,8,1)), "■", "")</f>
        <v/>
      </c>
      <c r="N7" s="55">
        <f>IF(AND($E7&lt;=DATE(2026,9,30), $F7&gt;=DATE(2026,9,1)), "■", "")</f>
        <v/>
      </c>
      <c r="O7" s="55">
        <f>IF(AND($E7&lt;=DATE(2026,10,31), $F7&gt;=DATE(2026,10,1)), "■", "")</f>
        <v/>
      </c>
      <c r="P7" s="55">
        <f>IF(AND($E7&lt;=DATE(2026,11,30), $F7&gt;=DATE(2026,11,1)), "■", "")</f>
        <v/>
      </c>
      <c r="Q7" s="55">
        <f>IF(AND($E7&lt;=DATE(2026,12,31), $F7&gt;=DATE(2026,12,1)), "■", "")</f>
        <v/>
      </c>
      <c r="R7" s="55">
        <f>IF(AND($E7&lt;=DATE(2027,1,31), $F7&gt;=DATE(2027,1,1)), "■", "")</f>
        <v/>
      </c>
      <c r="S7" s="55">
        <f>IF(AND($E7&lt;=DATE(2027,2,28), $F7&gt;=DATE(2027,2,1)), "■", "")</f>
        <v/>
      </c>
      <c r="T7" s="55">
        <f>IF(AND($E7&lt;=DATE(2027,3,31), $F7&gt;=DATE(2027,3,1)), "■", "")</f>
        <v/>
      </c>
      <c r="U7" s="55">
        <f>IF(AND($E7&lt;=DATE(2027,4,30), $F7&gt;=DATE(2027,4,1)), "■", "")</f>
        <v/>
      </c>
      <c r="V7" s="55">
        <f>IF(AND($E7&lt;=DATE(2027,5,31), $F7&gt;=DATE(2027,5,1)), "■", "")</f>
        <v/>
      </c>
      <c r="W7" s="55">
        <f>IF(AND($E7&lt;=DATE(2027,6,30), $F7&gt;=DATE(2027,6,1)), "■", "")</f>
        <v/>
      </c>
      <c r="X7" s="55">
        <f>IF(AND($E7&lt;=DATE(2027,7,31), $F7&gt;=DATE(2027,7,1)), "■", "")</f>
        <v/>
      </c>
    </row>
    <row r="8" ht="22" customHeight="1">
      <c r="A8" s="23" t="inlineStr">
        <is>
          <t>1.1.2</t>
        </is>
      </c>
      <c r="B8" s="24" t="inlineStr">
        <is>
          <t>Risk, Action &amp; Issue Tracking</t>
        </is>
      </c>
      <c r="C8" s="23" t="inlineStr">
        <is>
          <t>Shared</t>
        </is>
      </c>
      <c r="D8" s="20" t="n">
        <v>334</v>
      </c>
      <c r="E8" s="60" t="n">
        <v>46255</v>
      </c>
      <c r="F8" s="60" t="n">
        <v>46589</v>
      </c>
      <c r="G8" s="23" t="inlineStr"/>
      <c r="H8" s="22" t="inlineStr">
        <is>
          <t>In Progress</t>
        </is>
      </c>
      <c r="I8" s="29">
        <f>IF(TODAY() &lt; E8, 0, IF(TODAY() &gt;= F8, 1, (TODAY() - E8) / D8))</f>
        <v/>
      </c>
      <c r="J8" s="29">
        <f>IF(H8="Complete", 1, IF(H8="In Progress", 0.5, 0))</f>
        <v/>
      </c>
      <c r="K8" s="57" t="inlineStr">
        <is>
          <t>N/A</t>
        </is>
      </c>
      <c r="L8" s="24" t="inlineStr">
        <is>
          <t>Tracking system bugs in SHANA_SIT Issue Tracker.</t>
        </is>
      </c>
      <c r="M8" s="55">
        <f>IF(AND($E8&lt;=DATE(2026,8,31), $F8&gt;=DATE(2026,8,1)), "■", "")</f>
        <v/>
      </c>
      <c r="N8" s="55">
        <f>IF(AND($E8&lt;=DATE(2026,9,30), $F8&gt;=DATE(2026,9,1)), "■", "")</f>
        <v/>
      </c>
      <c r="O8" s="55">
        <f>IF(AND($E8&lt;=DATE(2026,10,31), $F8&gt;=DATE(2026,10,1)), "■", "")</f>
        <v/>
      </c>
      <c r="P8" s="55">
        <f>IF(AND($E8&lt;=DATE(2026,11,30), $F8&gt;=DATE(2026,11,1)), "■", "")</f>
        <v/>
      </c>
      <c r="Q8" s="55">
        <f>IF(AND($E8&lt;=DATE(2026,12,31), $F8&gt;=DATE(2026,12,1)), "■", "")</f>
        <v/>
      </c>
      <c r="R8" s="55">
        <f>IF(AND($E8&lt;=DATE(2027,1,31), $F8&gt;=DATE(2027,1,1)), "■", "")</f>
        <v/>
      </c>
      <c r="S8" s="55">
        <f>IF(AND($E8&lt;=DATE(2027,2,28), $F8&gt;=DATE(2027,2,1)), "■", "")</f>
        <v/>
      </c>
      <c r="T8" s="55">
        <f>IF(AND($E8&lt;=DATE(2027,3,31), $F8&gt;=DATE(2027,3,1)), "■", "")</f>
        <v/>
      </c>
      <c r="U8" s="55">
        <f>IF(AND($E8&lt;=DATE(2027,4,30), $F8&gt;=DATE(2027,4,1)), "■", "")</f>
        <v/>
      </c>
      <c r="V8" s="55">
        <f>IF(AND($E8&lt;=DATE(2027,5,31), $F8&gt;=DATE(2027,5,1)), "■", "")</f>
        <v/>
      </c>
      <c r="W8" s="55">
        <f>IF(AND($E8&lt;=DATE(2027,6,30), $F8&gt;=DATE(2027,6,1)), "■", "")</f>
        <v/>
      </c>
      <c r="X8" s="55">
        <f>IF(AND($E8&lt;=DATE(2027,7,31), $F8&gt;=DATE(2027,7,1)), "■", "")</f>
        <v/>
      </c>
    </row>
    <row r="9" ht="22" customHeight="1">
      <c r="A9" s="19" t="inlineStr">
        <is>
          <t>1.1.3</t>
        </is>
      </c>
      <c r="B9" s="4" t="inlineStr">
        <is>
          <t>PMO Status Reporting &amp; Milestone Gates</t>
        </is>
      </c>
      <c r="C9" s="19" t="inlineStr">
        <is>
          <t>Shared</t>
        </is>
      </c>
      <c r="D9" s="20" t="n">
        <v>334</v>
      </c>
      <c r="E9" s="60" t="n">
        <v>46255</v>
      </c>
      <c r="F9" s="60" t="n">
        <v>46589</v>
      </c>
      <c r="G9" s="19" t="inlineStr"/>
      <c r="H9" s="22" t="inlineStr">
        <is>
          <t>In Progress</t>
        </is>
      </c>
      <c r="I9" s="29">
        <f>IF(TODAY() &lt; E9, 0, IF(TODAY() &gt;= F9, 1, (TODAY() - E9) / D9))</f>
        <v/>
      </c>
      <c r="J9" s="29">
        <f>IF(H9="Complete", 1, IF(H9="In Progress", 0.5, 0))</f>
        <v/>
      </c>
      <c r="K9" s="56" t="inlineStr">
        <is>
          <t>N/A</t>
        </is>
      </c>
      <c r="L9" s="4" t="inlineStr">
        <is>
          <t>Reporting progress to central PMO to pass program milestone gates.</t>
        </is>
      </c>
      <c r="M9" s="55">
        <f>IF(AND($E9&lt;=DATE(2026,8,31), $F9&gt;=DATE(2026,8,1)), "■", "")</f>
        <v/>
      </c>
      <c r="N9" s="55">
        <f>IF(AND($E9&lt;=DATE(2026,9,30), $F9&gt;=DATE(2026,9,1)), "■", "")</f>
        <v/>
      </c>
      <c r="O9" s="55">
        <f>IF(AND($E9&lt;=DATE(2026,10,31), $F9&gt;=DATE(2026,10,1)), "■", "")</f>
        <v/>
      </c>
      <c r="P9" s="55">
        <f>IF(AND($E9&lt;=DATE(2026,11,30), $F9&gt;=DATE(2026,11,1)), "■", "")</f>
        <v/>
      </c>
      <c r="Q9" s="55">
        <f>IF(AND($E9&lt;=DATE(2026,12,31), $F9&gt;=DATE(2026,12,1)), "■", "")</f>
        <v/>
      </c>
      <c r="R9" s="55">
        <f>IF(AND($E9&lt;=DATE(2027,1,31), $F9&gt;=DATE(2027,1,1)), "■", "")</f>
        <v/>
      </c>
      <c r="S9" s="55">
        <f>IF(AND($E9&lt;=DATE(2027,2,28), $F9&gt;=DATE(2027,2,1)), "■", "")</f>
        <v/>
      </c>
      <c r="T9" s="55">
        <f>IF(AND($E9&lt;=DATE(2027,3,31), $F9&gt;=DATE(2027,3,1)), "■", "")</f>
        <v/>
      </c>
      <c r="U9" s="55">
        <f>IF(AND($E9&lt;=DATE(2027,4,30), $F9&gt;=DATE(2027,4,1)), "■", "")</f>
        <v/>
      </c>
      <c r="V9" s="55">
        <f>IF(AND($E9&lt;=DATE(2027,5,31), $F9&gt;=DATE(2027,5,1)), "■", "")</f>
        <v/>
      </c>
      <c r="W9" s="55">
        <f>IF(AND($E9&lt;=DATE(2027,6,30), $F9&gt;=DATE(2027,6,1)), "■", "")</f>
        <v/>
      </c>
      <c r="X9" s="55">
        <f>IF(AND($E9&lt;=DATE(2027,7,31), $F9&gt;=DATE(2027,7,1)), "■", "")</f>
        <v/>
      </c>
    </row>
    <row r="10" ht="22" customHeight="1">
      <c r="A10" s="16" t="inlineStr">
        <is>
          <t>1.2</t>
        </is>
      </c>
      <c r="B10" s="17" t="inlineStr">
        <is>
          <t>Impact Analysis &amp; Solution Design</t>
        </is>
      </c>
      <c r="C10" s="16" t="inlineStr">
        <is>
          <t>Shared</t>
        </is>
      </c>
      <c r="D10" s="18">
        <f>SUM(D11:D13)</f>
        <v/>
      </c>
      <c r="E10" s="59" t="n">
        <v>46255</v>
      </c>
      <c r="F10" s="59" t="n">
        <v>46295</v>
      </c>
      <c r="G10" s="16" t="inlineStr"/>
      <c r="H10" s="16" t="inlineStr">
        <is>
          <t>Complete</t>
        </is>
      </c>
      <c r="I10" s="28">
        <f>SUMPRODUCT(D11:D13, I11:I13)/D10</f>
        <v/>
      </c>
      <c r="J10" s="28">
        <f>SUMPRODUCT(D11:D13, J11:J13)/D10</f>
        <v/>
      </c>
      <c r="K10" s="54" t="inlineStr">
        <is>
          <t>Mock 1</t>
        </is>
      </c>
      <c r="L10" s="17" t="inlineStr">
        <is>
          <t>Assessing database and schema impacts on downstream APM schemas.</t>
        </is>
      </c>
      <c r="M10" s="55">
        <f>IF(AND($E10&lt;=DATE(2026,8,31), $F10&gt;=DATE(2026,8,1)), "■", "")</f>
        <v/>
      </c>
      <c r="N10" s="55">
        <f>IF(AND($E10&lt;=DATE(2026,9,30), $F10&gt;=DATE(2026,9,1)), "■", "")</f>
        <v/>
      </c>
      <c r="O10" s="55">
        <f>IF(AND($E10&lt;=DATE(2026,10,31), $F10&gt;=DATE(2026,10,1)), "■", "")</f>
        <v/>
      </c>
      <c r="P10" s="55">
        <f>IF(AND($E10&lt;=DATE(2026,11,30), $F10&gt;=DATE(2026,11,1)), "■", "")</f>
        <v/>
      </c>
      <c r="Q10" s="55">
        <f>IF(AND($E10&lt;=DATE(2026,12,31), $F10&gt;=DATE(2026,12,1)), "■", "")</f>
        <v/>
      </c>
      <c r="R10" s="55">
        <f>IF(AND($E10&lt;=DATE(2027,1,31), $F10&gt;=DATE(2027,1,1)), "■", "")</f>
        <v/>
      </c>
      <c r="S10" s="55">
        <f>IF(AND($E10&lt;=DATE(2027,2,28), $F10&gt;=DATE(2027,2,1)), "■", "")</f>
        <v/>
      </c>
      <c r="T10" s="55">
        <f>IF(AND($E10&lt;=DATE(2027,3,31), $F10&gt;=DATE(2027,3,1)), "■", "")</f>
        <v/>
      </c>
      <c r="U10" s="55">
        <f>IF(AND($E10&lt;=DATE(2027,4,30), $F10&gt;=DATE(2027,4,1)), "■", "")</f>
        <v/>
      </c>
      <c r="V10" s="55">
        <f>IF(AND($E10&lt;=DATE(2027,5,31), $F10&gt;=DATE(2027,5,1)), "■", "")</f>
        <v/>
      </c>
      <c r="W10" s="55">
        <f>IF(AND($E10&lt;=DATE(2027,6,30), $F10&gt;=DATE(2027,6,1)), "■", "")</f>
        <v/>
      </c>
      <c r="X10" s="55">
        <f>IF(AND($E10&lt;=DATE(2027,7,31), $F10&gt;=DATE(2027,7,1)), "■", "")</f>
        <v/>
      </c>
    </row>
    <row r="11" ht="22" customHeight="1">
      <c r="A11" s="19" t="inlineStr">
        <is>
          <t>1.2.1</t>
        </is>
      </c>
      <c r="B11" s="4" t="inlineStr">
        <is>
          <t>S/4HANA Structural Change Assessment</t>
        </is>
      </c>
      <c r="C11" s="19" t="inlineStr">
        <is>
          <t>APM Team</t>
        </is>
      </c>
      <c r="D11" s="20" t="n">
        <v>25</v>
      </c>
      <c r="E11" s="60" t="n">
        <v>46255</v>
      </c>
      <c r="F11" s="60" t="n">
        <v>46280</v>
      </c>
      <c r="G11" s="19" t="inlineStr"/>
      <c r="H11" s="22" t="inlineStr">
        <is>
          <t>Complete</t>
        </is>
      </c>
      <c r="I11" s="29">
        <f>IF(TODAY() &lt; E11, 0, IF(TODAY() &gt;= F11, 1, (TODAY() - E11) / D11))</f>
        <v/>
      </c>
      <c r="J11" s="29">
        <f>IF(H11="Complete", 1, IF(H11="In Progress", 0.5, 0))</f>
        <v/>
      </c>
      <c r="K11" s="56" t="inlineStr">
        <is>
          <t>Mock 1</t>
        </is>
      </c>
      <c r="L11" s="4" t="inlineStr">
        <is>
          <t>Assessing impacts on Equipment, Functional Location, and Measurement Documents.</t>
        </is>
      </c>
      <c r="M11" s="55">
        <f>IF(AND($E11&lt;=DATE(2026,8,31), $F11&gt;=DATE(2026,8,1)), "■", "")</f>
        <v/>
      </c>
      <c r="N11" s="55">
        <f>IF(AND($E11&lt;=DATE(2026,9,30), $F11&gt;=DATE(2026,9,1)), "■", "")</f>
        <v/>
      </c>
      <c r="O11" s="55">
        <f>IF(AND($E11&lt;=DATE(2026,10,31), $F11&gt;=DATE(2026,10,1)), "■", "")</f>
        <v/>
      </c>
      <c r="P11" s="55">
        <f>IF(AND($E11&lt;=DATE(2026,11,30), $F11&gt;=DATE(2026,11,1)), "■", "")</f>
        <v/>
      </c>
      <c r="Q11" s="55">
        <f>IF(AND($E11&lt;=DATE(2026,12,31), $F11&gt;=DATE(2026,12,1)), "■", "")</f>
        <v/>
      </c>
      <c r="R11" s="55">
        <f>IF(AND($E11&lt;=DATE(2027,1,31), $F11&gt;=DATE(2027,1,1)), "■", "")</f>
        <v/>
      </c>
      <c r="S11" s="55">
        <f>IF(AND($E11&lt;=DATE(2027,2,28), $F11&gt;=DATE(2027,2,1)), "■", "")</f>
        <v/>
      </c>
      <c r="T11" s="55">
        <f>IF(AND($E11&lt;=DATE(2027,3,31), $F11&gt;=DATE(2027,3,1)), "■", "")</f>
        <v/>
      </c>
      <c r="U11" s="55">
        <f>IF(AND($E11&lt;=DATE(2027,4,30), $F11&gt;=DATE(2027,4,1)), "■", "")</f>
        <v/>
      </c>
      <c r="V11" s="55">
        <f>IF(AND($E11&lt;=DATE(2027,5,31), $F11&gt;=DATE(2027,5,1)), "■", "")</f>
        <v/>
      </c>
      <c r="W11" s="55">
        <f>IF(AND($E11&lt;=DATE(2027,6,30), $F11&gt;=DATE(2027,6,1)), "■", "")</f>
        <v/>
      </c>
      <c r="X11" s="55">
        <f>IF(AND($E11&lt;=DATE(2027,7,31), $F11&gt;=DATE(2027,7,1)), "■", "")</f>
        <v/>
      </c>
    </row>
    <row r="12" ht="22" customHeight="1">
      <c r="A12" s="23" t="inlineStr">
        <is>
          <t>1.2.2</t>
        </is>
      </c>
      <c r="B12" s="24" t="inlineStr">
        <is>
          <t>Interface Mapping Design (PM-I-109 API)</t>
        </is>
      </c>
      <c r="C12" s="23" t="inlineStr">
        <is>
          <t>Shared</t>
        </is>
      </c>
      <c r="D12" s="20" t="n">
        <v>30</v>
      </c>
      <c r="E12" s="60" t="n">
        <v>46259</v>
      </c>
      <c r="F12" s="60" t="n">
        <v>46289</v>
      </c>
      <c r="G12" s="23" t="inlineStr">
        <is>
          <t>1.2.1</t>
        </is>
      </c>
      <c r="H12" s="22" t="inlineStr">
        <is>
          <t>Complete</t>
        </is>
      </c>
      <c r="I12" s="29">
        <f>IF(TODAY() &lt; E12, 0, IF(TODAY() &gt;= F12, 1, (TODAY() - E12) / D12))</f>
        <v/>
      </c>
      <c r="J12" s="29">
        <f>IF(H12="Complete", 1, IF(H12="In Progress", 0.5, 0))</f>
        <v/>
      </c>
      <c r="K12" s="57" t="inlineStr">
        <is>
          <t>Mock 1</t>
        </is>
      </c>
      <c r="L12" s="24" t="inlineStr">
        <is>
          <t>Mapping standard SAP fields via CPI / API Gateways to APM endpoints.</t>
        </is>
      </c>
      <c r="M12" s="55">
        <f>IF(AND($E12&lt;=DATE(2026,8,31), $F12&gt;=DATE(2026,8,1)), "■", "")</f>
        <v/>
      </c>
      <c r="N12" s="55">
        <f>IF(AND($E12&lt;=DATE(2026,9,30), $F12&gt;=DATE(2026,9,1)), "■", "")</f>
        <v/>
      </c>
      <c r="O12" s="55">
        <f>IF(AND($E12&lt;=DATE(2026,10,31), $F12&gt;=DATE(2026,10,1)), "■", "")</f>
        <v/>
      </c>
      <c r="P12" s="55">
        <f>IF(AND($E12&lt;=DATE(2026,11,30), $F12&gt;=DATE(2026,11,1)), "■", "")</f>
        <v/>
      </c>
      <c r="Q12" s="55">
        <f>IF(AND($E12&lt;=DATE(2026,12,31), $F12&gt;=DATE(2026,12,1)), "■", "")</f>
        <v/>
      </c>
      <c r="R12" s="55">
        <f>IF(AND($E12&lt;=DATE(2027,1,31), $F12&gt;=DATE(2027,1,1)), "■", "")</f>
        <v/>
      </c>
      <c r="S12" s="55">
        <f>IF(AND($E12&lt;=DATE(2027,2,28), $F12&gt;=DATE(2027,2,1)), "■", "")</f>
        <v/>
      </c>
      <c r="T12" s="55">
        <f>IF(AND($E12&lt;=DATE(2027,3,31), $F12&gt;=DATE(2027,3,1)), "■", "")</f>
        <v/>
      </c>
      <c r="U12" s="55">
        <f>IF(AND($E12&lt;=DATE(2027,4,30), $F12&gt;=DATE(2027,4,1)), "■", "")</f>
        <v/>
      </c>
      <c r="V12" s="55">
        <f>IF(AND($E12&lt;=DATE(2027,5,31), $F12&gt;=DATE(2027,5,1)), "■", "")</f>
        <v/>
      </c>
      <c r="W12" s="55">
        <f>IF(AND($E12&lt;=DATE(2027,6,30), $F12&gt;=DATE(2027,6,1)), "■", "")</f>
        <v/>
      </c>
      <c r="X12" s="55">
        <f>IF(AND($E12&lt;=DATE(2027,7,31), $F12&gt;=DATE(2027,7,1)), "■", "")</f>
        <v/>
      </c>
    </row>
    <row r="13" ht="22" customHeight="1">
      <c r="A13" s="19" t="inlineStr">
        <is>
          <t>1.2.3</t>
        </is>
      </c>
      <c r="B13" s="4" t="inlineStr">
        <is>
          <t>GCP Datamart &amp; BigQuery Schema Confirmation</t>
        </is>
      </c>
      <c r="C13" s="19" t="inlineStr">
        <is>
          <t>Shared</t>
        </is>
      </c>
      <c r="D13" s="20" t="n">
        <v>30</v>
      </c>
      <c r="E13" s="60" t="n">
        <v>46259</v>
      </c>
      <c r="F13" s="60" t="n">
        <v>46289</v>
      </c>
      <c r="G13" s="19" t="inlineStr">
        <is>
          <t>1.2.1</t>
        </is>
      </c>
      <c r="H13" s="22" t="inlineStr">
        <is>
          <t>Complete</t>
        </is>
      </c>
      <c r="I13" s="29">
        <f>IF(TODAY() &lt; E13, 0, IF(TODAY() &gt;= F13, 1, (TODAY() - E13) / D13))</f>
        <v/>
      </c>
      <c r="J13" s="29">
        <f>IF(H13="Complete", 1, IF(H13="In Progress", 0.5, 0))</f>
        <v/>
      </c>
      <c r="K13" s="56" t="inlineStr">
        <is>
          <t>Mock 1</t>
        </is>
      </c>
      <c r="L13" s="4" t="inlineStr">
        <is>
          <t>Designing target datamarts for APM transactional consumption.</t>
        </is>
      </c>
      <c r="M13" s="55">
        <f>IF(AND($E13&lt;=DATE(2026,8,31), $F13&gt;=DATE(2026,8,1)), "■", "")</f>
        <v/>
      </c>
      <c r="N13" s="55">
        <f>IF(AND($E13&lt;=DATE(2026,9,30), $F13&gt;=DATE(2026,9,1)), "■", "")</f>
        <v/>
      </c>
      <c r="O13" s="55">
        <f>IF(AND($E13&lt;=DATE(2026,10,31), $F13&gt;=DATE(2026,10,1)), "■", "")</f>
        <v/>
      </c>
      <c r="P13" s="55">
        <f>IF(AND($E13&lt;=DATE(2026,11,30), $F13&gt;=DATE(2026,11,1)), "■", "")</f>
        <v/>
      </c>
      <c r="Q13" s="55">
        <f>IF(AND($E13&lt;=DATE(2026,12,31), $F13&gt;=DATE(2026,12,1)), "■", "")</f>
        <v/>
      </c>
      <c r="R13" s="55">
        <f>IF(AND($E13&lt;=DATE(2027,1,31), $F13&gt;=DATE(2027,1,1)), "■", "")</f>
        <v/>
      </c>
      <c r="S13" s="55">
        <f>IF(AND($E13&lt;=DATE(2027,2,28), $F13&gt;=DATE(2027,2,1)), "■", "")</f>
        <v/>
      </c>
      <c r="T13" s="55">
        <f>IF(AND($E13&lt;=DATE(2027,3,31), $F13&gt;=DATE(2027,3,1)), "■", "")</f>
        <v/>
      </c>
      <c r="U13" s="55">
        <f>IF(AND($E13&lt;=DATE(2027,4,30), $F13&gt;=DATE(2027,4,1)), "■", "")</f>
        <v/>
      </c>
      <c r="V13" s="55">
        <f>IF(AND($E13&lt;=DATE(2027,5,31), $F13&gt;=DATE(2027,5,1)), "■", "")</f>
        <v/>
      </c>
      <c r="W13" s="55">
        <f>IF(AND($E13&lt;=DATE(2027,6,30), $F13&gt;=DATE(2027,6,1)), "■", "")</f>
        <v/>
      </c>
      <c r="X13" s="55">
        <f>IF(AND($E13&lt;=DATE(2027,7,31), $F13&gt;=DATE(2027,7,1)), "■", "")</f>
        <v/>
      </c>
    </row>
    <row r="14" ht="22" customHeight="1">
      <c r="A14" s="16" t="inlineStr">
        <is>
          <t>1.3</t>
        </is>
      </c>
      <c r="B14" s="17" t="inlineStr">
        <is>
          <t>System Development &amp; Unit Testing</t>
        </is>
      </c>
      <c r="C14" s="16" t="inlineStr">
        <is>
          <t>Shared</t>
        </is>
      </c>
      <c r="D14" s="18">
        <f>SUM(D15:D17)</f>
        <v/>
      </c>
      <c r="E14" s="59" t="n">
        <v>46280</v>
      </c>
      <c r="F14" s="59" t="n">
        <v>46325</v>
      </c>
      <c r="G14" s="16" t="inlineStr">
        <is>
          <t>1.2</t>
        </is>
      </c>
      <c r="H14" s="16" t="inlineStr">
        <is>
          <t>Complete</t>
        </is>
      </c>
      <c r="I14" s="28">
        <f>SUMPRODUCT(D15:D17, I15:I17)/D14</f>
        <v/>
      </c>
      <c r="J14" s="28">
        <f>SUMPRODUCT(D15:D17, J15:J17)/D14</f>
        <v/>
      </c>
      <c r="K14" s="54" t="inlineStr">
        <is>
          <t>Mock 1</t>
        </is>
      </c>
      <c r="L14" s="17" t="inlineStr">
        <is>
          <t>Remediating application core code and pipeline setups.</t>
        </is>
      </c>
      <c r="M14" s="55">
        <f>IF(AND($E14&lt;=DATE(2026,8,31), $F14&gt;=DATE(2026,8,1)), "■", "")</f>
        <v/>
      </c>
      <c r="N14" s="55">
        <f>IF(AND($E14&lt;=DATE(2026,9,30), $F14&gt;=DATE(2026,9,1)), "■", "")</f>
        <v/>
      </c>
      <c r="O14" s="55">
        <f>IF(AND($E14&lt;=DATE(2026,10,31), $F14&gt;=DATE(2026,10,1)), "■", "")</f>
        <v/>
      </c>
      <c r="P14" s="55">
        <f>IF(AND($E14&lt;=DATE(2026,11,30), $F14&gt;=DATE(2026,11,1)), "■", "")</f>
        <v/>
      </c>
      <c r="Q14" s="55">
        <f>IF(AND($E14&lt;=DATE(2026,12,31), $F14&gt;=DATE(2026,12,1)), "■", "")</f>
        <v/>
      </c>
      <c r="R14" s="55">
        <f>IF(AND($E14&lt;=DATE(2027,1,31), $F14&gt;=DATE(2027,1,1)), "■", "")</f>
        <v/>
      </c>
      <c r="S14" s="55">
        <f>IF(AND($E14&lt;=DATE(2027,2,28), $F14&gt;=DATE(2027,2,1)), "■", "")</f>
        <v/>
      </c>
      <c r="T14" s="55">
        <f>IF(AND($E14&lt;=DATE(2027,3,31), $F14&gt;=DATE(2027,3,1)), "■", "")</f>
        <v/>
      </c>
      <c r="U14" s="55">
        <f>IF(AND($E14&lt;=DATE(2027,4,30), $F14&gt;=DATE(2027,4,1)), "■", "")</f>
        <v/>
      </c>
      <c r="V14" s="55">
        <f>IF(AND($E14&lt;=DATE(2027,5,31), $F14&gt;=DATE(2027,5,1)), "■", "")</f>
        <v/>
      </c>
      <c r="W14" s="55">
        <f>IF(AND($E14&lt;=DATE(2027,6,30), $F14&gt;=DATE(2027,6,1)), "■", "")</f>
        <v/>
      </c>
      <c r="X14" s="55">
        <f>IF(AND($E14&lt;=DATE(2027,7,31), $F14&gt;=DATE(2027,7,1)), "■", "")</f>
        <v/>
      </c>
    </row>
    <row r="15" ht="22" customHeight="1">
      <c r="A15" s="19" t="inlineStr">
        <is>
          <t>1.3.1</t>
        </is>
      </c>
      <c r="B15" s="4" t="inlineStr">
        <is>
          <t>API Gateway Connectivity Build</t>
        </is>
      </c>
      <c r="C15" s="19" t="inlineStr">
        <is>
          <t>SAP Team</t>
        </is>
      </c>
      <c r="D15" s="20" t="n">
        <v>20</v>
      </c>
      <c r="E15" s="60" t="n">
        <v>46280</v>
      </c>
      <c r="F15" s="60" t="n">
        <v>46300</v>
      </c>
      <c r="G15" s="19" t="inlineStr">
        <is>
          <t>1.2.2</t>
        </is>
      </c>
      <c r="H15" s="22" t="inlineStr">
        <is>
          <t>Complete</t>
        </is>
      </c>
      <c r="I15" s="29">
        <f>IF(TODAY() &lt; E15, 0, IF(TODAY() &gt;= F15, 1, (TODAY() - E15) / D15))</f>
        <v/>
      </c>
      <c r="J15" s="29">
        <f>IF(H15="Complete", 1, IF(H15="In Progress", 0.5, 0))</f>
        <v/>
      </c>
      <c r="K15" s="56" t="inlineStr">
        <is>
          <t>Mock 1</t>
        </is>
      </c>
      <c r="L15" s="4" t="inlineStr">
        <is>
          <t>Configuring Apigee and CPI outbound secure communication.</t>
        </is>
      </c>
      <c r="M15" s="55">
        <f>IF(AND($E15&lt;=DATE(2026,8,31), $F15&gt;=DATE(2026,8,1)), "■", "")</f>
        <v/>
      </c>
      <c r="N15" s="55">
        <f>IF(AND($E15&lt;=DATE(2026,9,30), $F15&gt;=DATE(2026,9,1)), "■", "")</f>
        <v/>
      </c>
      <c r="O15" s="55">
        <f>IF(AND($E15&lt;=DATE(2026,10,31), $F15&gt;=DATE(2026,10,1)), "■", "")</f>
        <v/>
      </c>
      <c r="P15" s="55">
        <f>IF(AND($E15&lt;=DATE(2026,11,30), $F15&gt;=DATE(2026,11,1)), "■", "")</f>
        <v/>
      </c>
      <c r="Q15" s="55">
        <f>IF(AND($E15&lt;=DATE(2026,12,31), $F15&gt;=DATE(2026,12,1)), "■", "")</f>
        <v/>
      </c>
      <c r="R15" s="55">
        <f>IF(AND($E15&lt;=DATE(2027,1,31), $F15&gt;=DATE(2027,1,1)), "■", "")</f>
        <v/>
      </c>
      <c r="S15" s="55">
        <f>IF(AND($E15&lt;=DATE(2027,2,28), $F15&gt;=DATE(2027,2,1)), "■", "")</f>
        <v/>
      </c>
      <c r="T15" s="55">
        <f>IF(AND($E15&lt;=DATE(2027,3,31), $F15&gt;=DATE(2027,3,1)), "■", "")</f>
        <v/>
      </c>
      <c r="U15" s="55">
        <f>IF(AND($E15&lt;=DATE(2027,4,30), $F15&gt;=DATE(2027,4,1)), "■", "")</f>
        <v/>
      </c>
      <c r="V15" s="55">
        <f>IF(AND($E15&lt;=DATE(2027,5,31), $F15&gt;=DATE(2027,5,1)), "■", "")</f>
        <v/>
      </c>
      <c r="W15" s="55">
        <f>IF(AND($E15&lt;=DATE(2027,6,30), $F15&gt;=DATE(2027,6,1)), "■", "")</f>
        <v/>
      </c>
      <c r="X15" s="55">
        <f>IF(AND($E15&lt;=DATE(2027,7,31), $F15&gt;=DATE(2027,7,1)), "■", "")</f>
        <v/>
      </c>
    </row>
    <row r="16" ht="22" customHeight="1">
      <c r="A16" s="23" t="inlineStr">
        <is>
          <t>1.3.2</t>
        </is>
      </c>
      <c r="B16" s="24" t="inlineStr">
        <is>
          <t>GCP Data Platform ETL Pipeline Build</t>
        </is>
      </c>
      <c r="C16" s="23" t="inlineStr">
        <is>
          <t>SAP Team</t>
        </is>
      </c>
      <c r="D16" s="20" t="n">
        <v>25</v>
      </c>
      <c r="E16" s="60" t="n">
        <v>46285</v>
      </c>
      <c r="F16" s="60" t="n">
        <v>46310</v>
      </c>
      <c r="G16" s="23" t="inlineStr">
        <is>
          <t>1.2.3</t>
        </is>
      </c>
      <c r="H16" s="22" t="inlineStr">
        <is>
          <t>Complete</t>
        </is>
      </c>
      <c r="I16" s="29">
        <f>IF(TODAY() &lt; E16, 0, IF(TODAY() &gt;= F16, 1, (TODAY() - E16) / D16))</f>
        <v/>
      </c>
      <c r="J16" s="29">
        <f>IF(H16="Complete", 1, IF(H16="In Progress", 0.5, 0))</f>
        <v/>
      </c>
      <c r="K16" s="57" t="inlineStr">
        <is>
          <t>Mock 1</t>
        </is>
      </c>
      <c r="L16" s="24" t="inlineStr">
        <is>
          <t>Bluebik and ODC developers establishing GCP staging loads.</t>
        </is>
      </c>
      <c r="M16" s="55">
        <f>IF(AND($E16&lt;=DATE(2026,8,31), $F16&gt;=DATE(2026,8,1)), "■", "")</f>
        <v/>
      </c>
      <c r="N16" s="55">
        <f>IF(AND($E16&lt;=DATE(2026,9,30), $F16&gt;=DATE(2026,9,1)), "■", "")</f>
        <v/>
      </c>
      <c r="O16" s="55">
        <f>IF(AND($E16&lt;=DATE(2026,10,31), $F16&gt;=DATE(2026,10,1)), "■", "")</f>
        <v/>
      </c>
      <c r="P16" s="55">
        <f>IF(AND($E16&lt;=DATE(2026,11,30), $F16&gt;=DATE(2026,11,1)), "■", "")</f>
        <v/>
      </c>
      <c r="Q16" s="55">
        <f>IF(AND($E16&lt;=DATE(2026,12,31), $F16&gt;=DATE(2026,12,1)), "■", "")</f>
        <v/>
      </c>
      <c r="R16" s="55">
        <f>IF(AND($E16&lt;=DATE(2027,1,31), $F16&gt;=DATE(2027,1,1)), "■", "")</f>
        <v/>
      </c>
      <c r="S16" s="55">
        <f>IF(AND($E16&lt;=DATE(2027,2,28), $F16&gt;=DATE(2027,2,1)), "■", "")</f>
        <v/>
      </c>
      <c r="T16" s="55">
        <f>IF(AND($E16&lt;=DATE(2027,3,31), $F16&gt;=DATE(2027,3,1)), "■", "")</f>
        <v/>
      </c>
      <c r="U16" s="55">
        <f>IF(AND($E16&lt;=DATE(2027,4,30), $F16&gt;=DATE(2027,4,1)), "■", "")</f>
        <v/>
      </c>
      <c r="V16" s="55">
        <f>IF(AND($E16&lt;=DATE(2027,5,31), $F16&gt;=DATE(2027,5,1)), "■", "")</f>
        <v/>
      </c>
      <c r="W16" s="55">
        <f>IF(AND($E16&lt;=DATE(2027,6,30), $F16&gt;=DATE(2027,6,1)), "■", "")</f>
        <v/>
      </c>
      <c r="X16" s="55">
        <f>IF(AND($E16&lt;=DATE(2027,7,31), $F16&gt;=DATE(2027,7,1)), "■", "")</f>
        <v/>
      </c>
    </row>
    <row r="17" ht="22" customHeight="1">
      <c r="A17" s="19" t="inlineStr">
        <is>
          <t>1.3.3</t>
        </is>
      </c>
      <c r="B17" s="4" t="inlineStr">
        <is>
          <t>APM Core Application Remediation</t>
        </is>
      </c>
      <c r="C17" s="19" t="inlineStr">
        <is>
          <t>APM Team</t>
        </is>
      </c>
      <c r="D17" s="20" t="n">
        <v>30</v>
      </c>
      <c r="E17" s="60" t="n">
        <v>46296</v>
      </c>
      <c r="F17" s="60" t="n">
        <v>46325</v>
      </c>
      <c r="G17" s="19" t="inlineStr">
        <is>
          <t>1.2.1</t>
        </is>
      </c>
      <c r="H17" s="22" t="inlineStr">
        <is>
          <t>Complete</t>
        </is>
      </c>
      <c r="I17" s="29">
        <f>IF(TODAY() &lt; E17, 0, IF(TODAY() &gt;= F17, 1, (TODAY() - E17) / D17))</f>
        <v/>
      </c>
      <c r="J17" s="29">
        <f>IF(H17="Complete", 1, IF(H17="In Progress", 0.5, 0))</f>
        <v/>
      </c>
      <c r="K17" s="56" t="inlineStr">
        <is>
          <t>Mock 1</t>
        </is>
      </c>
      <c r="L17" s="4" t="inlineStr">
        <is>
          <t>Vendor modifying backend to align with new location and equipment names.</t>
        </is>
      </c>
      <c r="M17" s="55">
        <f>IF(AND($E17&lt;=DATE(2026,8,31), $F17&gt;=DATE(2026,8,1)), "■", "")</f>
        <v/>
      </c>
      <c r="N17" s="55">
        <f>IF(AND($E17&lt;=DATE(2026,9,30), $F17&gt;=DATE(2026,9,1)), "■", "")</f>
        <v/>
      </c>
      <c r="O17" s="55">
        <f>IF(AND($E17&lt;=DATE(2026,10,31), $F17&gt;=DATE(2026,10,1)), "■", "")</f>
        <v/>
      </c>
      <c r="P17" s="55">
        <f>IF(AND($E17&lt;=DATE(2026,11,30), $F17&gt;=DATE(2026,11,1)), "■", "")</f>
        <v/>
      </c>
      <c r="Q17" s="55">
        <f>IF(AND($E17&lt;=DATE(2026,12,31), $F17&gt;=DATE(2026,12,1)), "■", "")</f>
        <v/>
      </c>
      <c r="R17" s="55">
        <f>IF(AND($E17&lt;=DATE(2027,1,31), $F17&gt;=DATE(2027,1,1)), "■", "")</f>
        <v/>
      </c>
      <c r="S17" s="55">
        <f>IF(AND($E17&lt;=DATE(2027,2,28), $F17&gt;=DATE(2027,2,1)), "■", "")</f>
        <v/>
      </c>
      <c r="T17" s="55">
        <f>IF(AND($E17&lt;=DATE(2027,3,31), $F17&gt;=DATE(2027,3,1)), "■", "")</f>
        <v/>
      </c>
      <c r="U17" s="55">
        <f>IF(AND($E17&lt;=DATE(2027,4,30), $F17&gt;=DATE(2027,4,1)), "■", "")</f>
        <v/>
      </c>
      <c r="V17" s="55">
        <f>IF(AND($E17&lt;=DATE(2027,5,31), $F17&gt;=DATE(2027,5,1)), "■", "")</f>
        <v/>
      </c>
      <c r="W17" s="55">
        <f>IF(AND($E17&lt;=DATE(2027,6,30), $F17&gt;=DATE(2027,6,1)), "■", "")</f>
        <v/>
      </c>
      <c r="X17" s="55">
        <f>IF(AND($E17&lt;=DATE(2027,7,31), $F17&gt;=DATE(2027,7,1)), "■", "")</f>
        <v/>
      </c>
    </row>
    <row r="18" ht="22" customHeight="1">
      <c r="A18" s="16" t="inlineStr">
        <is>
          <t>1.4</t>
        </is>
      </c>
      <c r="B18" s="17" t="inlineStr">
        <is>
          <t>System Integration Testing (SIT)</t>
        </is>
      </c>
      <c r="C18" s="16" t="inlineStr">
        <is>
          <t>Shared</t>
        </is>
      </c>
      <c r="D18" s="18">
        <f>SUM(D19:D21)</f>
        <v/>
      </c>
      <c r="E18" s="59" t="n">
        <v>46310</v>
      </c>
      <c r="F18" s="59" t="n">
        <v>46350</v>
      </c>
      <c r="G18" s="16" t="inlineStr">
        <is>
          <t>1.3</t>
        </is>
      </c>
      <c r="H18" s="16" t="inlineStr">
        <is>
          <t>In Progress</t>
        </is>
      </c>
      <c r="I18" s="28">
        <f>SUMPRODUCT(D19:D21, I19:I21)/D18</f>
        <v/>
      </c>
      <c r="J18" s="28">
        <f>SUMPRODUCT(D19:D21, J19:J21)/D18</f>
        <v/>
      </c>
      <c r="K18" s="54" t="inlineStr">
        <is>
          <t>Mock 1</t>
        </is>
      </c>
      <c r="L18" s="17" t="inlineStr">
        <is>
          <t>Testing all data streams between S/4HANA and APM backend.</t>
        </is>
      </c>
      <c r="M18" s="55">
        <f>IF(AND($E18&lt;=DATE(2026,8,31), $F18&gt;=DATE(2026,8,1)), "■", "")</f>
        <v/>
      </c>
      <c r="N18" s="55">
        <f>IF(AND($E18&lt;=DATE(2026,9,30), $F18&gt;=DATE(2026,9,1)), "■", "")</f>
        <v/>
      </c>
      <c r="O18" s="55">
        <f>IF(AND($E18&lt;=DATE(2026,10,31), $F18&gt;=DATE(2026,10,1)), "■", "")</f>
        <v/>
      </c>
      <c r="P18" s="55">
        <f>IF(AND($E18&lt;=DATE(2026,11,30), $F18&gt;=DATE(2026,11,1)), "■", "")</f>
        <v/>
      </c>
      <c r="Q18" s="55">
        <f>IF(AND($E18&lt;=DATE(2026,12,31), $F18&gt;=DATE(2026,12,1)), "■", "")</f>
        <v/>
      </c>
      <c r="R18" s="55">
        <f>IF(AND($E18&lt;=DATE(2027,1,31), $F18&gt;=DATE(2027,1,1)), "■", "")</f>
        <v/>
      </c>
      <c r="S18" s="55">
        <f>IF(AND($E18&lt;=DATE(2027,2,28), $F18&gt;=DATE(2027,2,1)), "■", "")</f>
        <v/>
      </c>
      <c r="T18" s="55">
        <f>IF(AND($E18&lt;=DATE(2027,3,31), $F18&gt;=DATE(2027,3,1)), "■", "")</f>
        <v/>
      </c>
      <c r="U18" s="55">
        <f>IF(AND($E18&lt;=DATE(2027,4,30), $F18&gt;=DATE(2027,4,1)), "■", "")</f>
        <v/>
      </c>
      <c r="V18" s="55">
        <f>IF(AND($E18&lt;=DATE(2027,5,31), $F18&gt;=DATE(2027,5,1)), "■", "")</f>
        <v/>
      </c>
      <c r="W18" s="55">
        <f>IF(AND($E18&lt;=DATE(2027,6,30), $F18&gt;=DATE(2027,6,1)), "■", "")</f>
        <v/>
      </c>
      <c r="X18" s="55">
        <f>IF(AND($E18&lt;=DATE(2027,7,31), $F18&gt;=DATE(2027,7,1)), "■", "")</f>
        <v/>
      </c>
    </row>
    <row r="19" ht="22" customHeight="1">
      <c r="A19" s="19" t="inlineStr">
        <is>
          <t>1.4.1</t>
        </is>
      </c>
      <c r="B19" s="4" t="inlineStr">
        <is>
          <t>Test Script Prep &amp; Metadata Alignment</t>
        </is>
      </c>
      <c r="C19" s="19" t="inlineStr">
        <is>
          <t>Shared</t>
        </is>
      </c>
      <c r="D19" s="20" t="n">
        <v>15</v>
      </c>
      <c r="E19" s="60" t="n">
        <v>46310</v>
      </c>
      <c r="F19" s="60" t="n">
        <v>46325</v>
      </c>
      <c r="G19" s="19" t="inlineStr">
        <is>
          <t>1.3.3</t>
        </is>
      </c>
      <c r="H19" s="22" t="inlineStr">
        <is>
          <t>Complete</t>
        </is>
      </c>
      <c r="I19" s="29">
        <f>IF(TODAY() &lt; E19, 0, IF(TODAY() &gt;= F19, 1, (TODAY() - E19) / D19))</f>
        <v/>
      </c>
      <c r="J19" s="29">
        <f>IF(H19="Complete", 1, IF(H19="In Progress", 0.5, 0))</f>
        <v/>
      </c>
      <c r="K19" s="56" t="inlineStr">
        <is>
          <t>Mock 1</t>
        </is>
      </c>
      <c r="L19" s="4" t="inlineStr">
        <is>
          <t>Reviewing test cases in SIT Baseline 1 and SharePoint folder 04. MNT.</t>
        </is>
      </c>
      <c r="M19" s="55">
        <f>IF(AND($E19&lt;=DATE(2026,8,31), $F19&gt;=DATE(2026,8,1)), "■", "")</f>
        <v/>
      </c>
      <c r="N19" s="55">
        <f>IF(AND($E19&lt;=DATE(2026,9,30), $F19&gt;=DATE(2026,9,1)), "■", "")</f>
        <v/>
      </c>
      <c r="O19" s="55">
        <f>IF(AND($E19&lt;=DATE(2026,10,31), $F19&gt;=DATE(2026,10,1)), "■", "")</f>
        <v/>
      </c>
      <c r="P19" s="55">
        <f>IF(AND($E19&lt;=DATE(2026,11,30), $F19&gt;=DATE(2026,11,1)), "■", "")</f>
        <v/>
      </c>
      <c r="Q19" s="55">
        <f>IF(AND($E19&lt;=DATE(2026,12,31), $F19&gt;=DATE(2026,12,1)), "■", "")</f>
        <v/>
      </c>
      <c r="R19" s="55">
        <f>IF(AND($E19&lt;=DATE(2027,1,31), $F19&gt;=DATE(2027,1,1)), "■", "")</f>
        <v/>
      </c>
      <c r="S19" s="55">
        <f>IF(AND($E19&lt;=DATE(2027,2,28), $F19&gt;=DATE(2027,2,1)), "■", "")</f>
        <v/>
      </c>
      <c r="T19" s="55">
        <f>IF(AND($E19&lt;=DATE(2027,3,31), $F19&gt;=DATE(2027,3,1)), "■", "")</f>
        <v/>
      </c>
      <c r="U19" s="55">
        <f>IF(AND($E19&lt;=DATE(2027,4,30), $F19&gt;=DATE(2027,4,1)), "■", "")</f>
        <v/>
      </c>
      <c r="V19" s="55">
        <f>IF(AND($E19&lt;=DATE(2027,5,31), $F19&gt;=DATE(2027,5,1)), "■", "")</f>
        <v/>
      </c>
      <c r="W19" s="55">
        <f>IF(AND($E19&lt;=DATE(2027,6,30), $F19&gt;=DATE(2027,6,1)), "■", "")</f>
        <v/>
      </c>
      <c r="X19" s="55">
        <f>IF(AND($E19&lt;=DATE(2027,7,31), $F19&gt;=DATE(2027,7,1)), "■", "")</f>
        <v/>
      </c>
    </row>
    <row r="20" ht="22" customHeight="1">
      <c r="A20" s="23" t="inlineStr">
        <is>
          <t>1.4.2</t>
        </is>
      </c>
      <c r="B20" s="24" t="inlineStr">
        <is>
          <t>Interface End-to-End Execution (PM-I-109)</t>
        </is>
      </c>
      <c r="C20" s="23" t="inlineStr">
        <is>
          <t>Shared</t>
        </is>
      </c>
      <c r="D20" s="20" t="n">
        <v>20</v>
      </c>
      <c r="E20" s="60" t="n">
        <v>46327</v>
      </c>
      <c r="F20" s="60" t="n">
        <v>46346</v>
      </c>
      <c r="G20" s="23" t="inlineStr">
        <is>
          <t>1.4.1</t>
        </is>
      </c>
      <c r="H20" s="22" t="inlineStr">
        <is>
          <t>In Progress</t>
        </is>
      </c>
      <c r="I20" s="29">
        <f>IF(TODAY() &lt; E20, 0, IF(TODAY() &gt;= F20, 1, (TODAY() - E20) / D20))</f>
        <v/>
      </c>
      <c r="J20" s="29">
        <f>IF(H20="Complete", 1, IF(H20="In Progress", 0.5, 0))</f>
        <v/>
      </c>
      <c r="K20" s="57" t="inlineStr">
        <is>
          <t>Mock 1</t>
        </is>
      </c>
      <c r="L20" s="24" t="inlineStr">
        <is>
          <t>Executing synchronous real-time notification syncs.</t>
        </is>
      </c>
      <c r="M20" s="55">
        <f>IF(AND($E20&lt;=DATE(2026,8,31), $F20&gt;=DATE(2026,8,1)), "■", "")</f>
        <v/>
      </c>
      <c r="N20" s="55">
        <f>IF(AND($E20&lt;=DATE(2026,9,30), $F20&gt;=DATE(2026,9,1)), "■", "")</f>
        <v/>
      </c>
      <c r="O20" s="55">
        <f>IF(AND($E20&lt;=DATE(2026,10,31), $F20&gt;=DATE(2026,10,1)), "■", "")</f>
        <v/>
      </c>
      <c r="P20" s="55">
        <f>IF(AND($E20&lt;=DATE(2026,11,30), $F20&gt;=DATE(2026,11,1)), "■", "")</f>
        <v/>
      </c>
      <c r="Q20" s="55">
        <f>IF(AND($E20&lt;=DATE(2026,12,31), $F20&gt;=DATE(2026,12,1)), "■", "")</f>
        <v/>
      </c>
      <c r="R20" s="55">
        <f>IF(AND($E20&lt;=DATE(2027,1,31), $F20&gt;=DATE(2027,1,1)), "■", "")</f>
        <v/>
      </c>
      <c r="S20" s="55">
        <f>IF(AND($E20&lt;=DATE(2027,2,28), $F20&gt;=DATE(2027,2,1)), "■", "")</f>
        <v/>
      </c>
      <c r="T20" s="55">
        <f>IF(AND($E20&lt;=DATE(2027,3,31), $F20&gt;=DATE(2027,3,1)), "■", "")</f>
        <v/>
      </c>
      <c r="U20" s="55">
        <f>IF(AND($E20&lt;=DATE(2027,4,30), $F20&gt;=DATE(2027,4,1)), "■", "")</f>
        <v/>
      </c>
      <c r="V20" s="55">
        <f>IF(AND($E20&lt;=DATE(2027,5,31), $F20&gt;=DATE(2027,5,1)), "■", "")</f>
        <v/>
      </c>
      <c r="W20" s="55">
        <f>IF(AND($E20&lt;=DATE(2027,6,30), $F20&gt;=DATE(2027,6,1)), "■", "")</f>
        <v/>
      </c>
      <c r="X20" s="55">
        <f>IF(AND($E20&lt;=DATE(2027,7,31), $F20&gt;=DATE(2027,7,1)), "■", "")</f>
        <v/>
      </c>
    </row>
    <row r="21" ht="22" customHeight="1">
      <c r="A21" s="19" t="inlineStr">
        <is>
          <t>1.4.3</t>
        </is>
      </c>
      <c r="B21" s="4" t="inlineStr">
        <is>
          <t>Defect Remediation &amp; Re-testing Cycle</t>
        </is>
      </c>
      <c r="C21" s="19" t="inlineStr">
        <is>
          <t>Shared</t>
        </is>
      </c>
      <c r="D21" s="20" t="n">
        <v>15</v>
      </c>
      <c r="E21" s="60" t="n">
        <v>46336</v>
      </c>
      <c r="F21" s="60" t="n">
        <v>46350</v>
      </c>
      <c r="G21" s="19" t="inlineStr">
        <is>
          <t>1.4.2</t>
        </is>
      </c>
      <c r="H21" s="22" t="inlineStr">
        <is>
          <t>Not Started</t>
        </is>
      </c>
      <c r="I21" s="29">
        <f>IF(TODAY() &lt; E21, 0, IF(TODAY() &gt;= F21, 1, (TODAY() - E21) / D21))</f>
        <v/>
      </c>
      <c r="J21" s="29">
        <f>IF(H21="Complete", 1, IF(H21="In Progress", 0.5, 0))</f>
        <v/>
      </c>
      <c r="K21" s="56" t="inlineStr">
        <is>
          <t>Mock 1</t>
        </is>
      </c>
      <c r="L21" s="4" t="inlineStr">
        <is>
          <t>Resolving bugs via SHANA_SIT tracker.</t>
        </is>
      </c>
      <c r="M21" s="55">
        <f>IF(AND($E21&lt;=DATE(2026,8,31), $F21&gt;=DATE(2026,8,1)), "■", "")</f>
        <v/>
      </c>
      <c r="N21" s="55">
        <f>IF(AND($E21&lt;=DATE(2026,9,30), $F21&gt;=DATE(2026,9,1)), "■", "")</f>
        <v/>
      </c>
      <c r="O21" s="55">
        <f>IF(AND($E21&lt;=DATE(2026,10,31), $F21&gt;=DATE(2026,10,1)), "■", "")</f>
        <v/>
      </c>
      <c r="P21" s="55">
        <f>IF(AND($E21&lt;=DATE(2026,11,30), $F21&gt;=DATE(2026,11,1)), "■", "")</f>
        <v/>
      </c>
      <c r="Q21" s="55">
        <f>IF(AND($E21&lt;=DATE(2026,12,31), $F21&gt;=DATE(2026,12,1)), "■", "")</f>
        <v/>
      </c>
      <c r="R21" s="55">
        <f>IF(AND($E21&lt;=DATE(2027,1,31), $F21&gt;=DATE(2027,1,1)), "■", "")</f>
        <v/>
      </c>
      <c r="S21" s="55">
        <f>IF(AND($E21&lt;=DATE(2027,2,28), $F21&gt;=DATE(2027,2,1)), "■", "")</f>
        <v/>
      </c>
      <c r="T21" s="55">
        <f>IF(AND($E21&lt;=DATE(2027,3,31), $F21&gt;=DATE(2027,3,1)), "■", "")</f>
        <v/>
      </c>
      <c r="U21" s="55">
        <f>IF(AND($E21&lt;=DATE(2027,4,30), $F21&gt;=DATE(2027,4,1)), "■", "")</f>
        <v/>
      </c>
      <c r="V21" s="55">
        <f>IF(AND($E21&lt;=DATE(2027,5,31), $F21&gt;=DATE(2027,5,1)), "■", "")</f>
        <v/>
      </c>
      <c r="W21" s="55">
        <f>IF(AND($E21&lt;=DATE(2027,6,30), $F21&gt;=DATE(2027,6,1)), "■", "")</f>
        <v/>
      </c>
      <c r="X21" s="55">
        <f>IF(AND($E21&lt;=DATE(2027,7,31), $F21&gt;=DATE(2027,7,1)), "■", "")</f>
        <v/>
      </c>
    </row>
    <row r="22" ht="22" customHeight="1">
      <c r="A22" s="16" t="inlineStr">
        <is>
          <t>1.5</t>
        </is>
      </c>
      <c r="B22" s="17" t="inlineStr">
        <is>
          <t>User Acceptance Testing (UAT)</t>
        </is>
      </c>
      <c r="C22" s="16" t="inlineStr">
        <is>
          <t>Shared</t>
        </is>
      </c>
      <c r="D22" s="18">
        <f>SUM(D23:D25)</f>
        <v/>
      </c>
      <c r="E22" s="59" t="n">
        <v>46255</v>
      </c>
      <c r="F22" s="59" t="n">
        <v>46433</v>
      </c>
      <c r="G22" s="16" t="inlineStr">
        <is>
          <t>1.4</t>
        </is>
      </c>
      <c r="H22" s="16" t="inlineStr">
        <is>
          <t>In Progress</t>
        </is>
      </c>
      <c r="I22" s="28">
        <f>SUMPRODUCT(D23:D25, I23:I25)/D22</f>
        <v/>
      </c>
      <c r="J22" s="28">
        <f>SUMPRODUCT(D23:D25, J23:J25)/D22</f>
        <v/>
      </c>
      <c r="K22" s="54" t="inlineStr">
        <is>
          <t>Mock 2</t>
        </is>
      </c>
      <c r="L22" s="17" t="inlineStr">
        <is>
          <t>Testing business scenarios with key users on Mock 2.</t>
        </is>
      </c>
      <c r="M22" s="55">
        <f>IF(AND($E22&lt;=DATE(2026,8,31), $F22&gt;=DATE(2026,8,1)), "■", "")</f>
        <v/>
      </c>
      <c r="N22" s="55">
        <f>IF(AND($E22&lt;=DATE(2026,9,30), $F22&gt;=DATE(2026,9,1)), "■", "")</f>
        <v/>
      </c>
      <c r="O22" s="55">
        <f>IF(AND($E22&lt;=DATE(2026,10,31), $F22&gt;=DATE(2026,10,1)), "■", "")</f>
        <v/>
      </c>
      <c r="P22" s="55">
        <f>IF(AND($E22&lt;=DATE(2026,11,30), $F22&gt;=DATE(2026,11,1)), "■", "")</f>
        <v/>
      </c>
      <c r="Q22" s="55">
        <f>IF(AND($E22&lt;=DATE(2026,12,31), $F22&gt;=DATE(2026,12,1)), "■", "")</f>
        <v/>
      </c>
      <c r="R22" s="55">
        <f>IF(AND($E22&lt;=DATE(2027,1,31), $F22&gt;=DATE(2027,1,1)), "■", "")</f>
        <v/>
      </c>
      <c r="S22" s="55">
        <f>IF(AND($E22&lt;=DATE(2027,2,28), $F22&gt;=DATE(2027,2,1)), "■", "")</f>
        <v/>
      </c>
      <c r="T22" s="55">
        <f>IF(AND($E22&lt;=DATE(2027,3,31), $F22&gt;=DATE(2027,3,1)), "■", "")</f>
        <v/>
      </c>
      <c r="U22" s="55">
        <f>IF(AND($E22&lt;=DATE(2027,4,30), $F22&gt;=DATE(2027,4,1)), "■", "")</f>
        <v/>
      </c>
      <c r="V22" s="55">
        <f>IF(AND($E22&lt;=DATE(2027,5,31), $F22&gt;=DATE(2027,5,1)), "■", "")</f>
        <v/>
      </c>
      <c r="W22" s="55">
        <f>IF(AND($E22&lt;=DATE(2027,6,30), $F22&gt;=DATE(2027,6,1)), "■", "")</f>
        <v/>
      </c>
      <c r="X22" s="55">
        <f>IF(AND($E22&lt;=DATE(2027,7,31), $F22&gt;=DATE(2027,7,1)), "■", "")</f>
        <v/>
      </c>
    </row>
    <row r="23" ht="22" customHeight="1">
      <c r="A23" s="19" t="inlineStr">
        <is>
          <t>1.5.1</t>
        </is>
      </c>
      <c r="B23" s="4" t="inlineStr">
        <is>
          <t>Environment Prep &amp; User ID Provisioning</t>
        </is>
      </c>
      <c r="C23" s="19" t="inlineStr">
        <is>
          <t>Shared</t>
        </is>
      </c>
      <c r="D23" s="20" t="n">
        <v>11</v>
      </c>
      <c r="E23" s="60" t="n">
        <v>46255</v>
      </c>
      <c r="F23" s="60" t="n">
        <v>46266</v>
      </c>
      <c r="G23" s="19" t="inlineStr"/>
      <c r="H23" s="22" t="inlineStr">
        <is>
          <t>Complete</t>
        </is>
      </c>
      <c r="I23" s="29">
        <f>IF(TODAY() &lt; E23, 0, IF(TODAY() &gt;= F23, 1, (TODAY() - E23) / D23))</f>
        <v/>
      </c>
      <c r="J23" s="29">
        <f>IF(H23="Complete", 1, IF(H23="In Progress", 0.5, 0))</f>
        <v/>
      </c>
      <c r="K23" s="56" t="inlineStr">
        <is>
          <t>Mock 2</t>
        </is>
      </c>
      <c r="L23" s="4" t="inlineStr">
        <is>
          <t>Submitting Matrix 3 on 1-Sep and provisioning user IDs in Azure AD.</t>
        </is>
      </c>
      <c r="M23" s="55">
        <f>IF(AND($E23&lt;=DATE(2026,8,31), $F23&gt;=DATE(2026,8,1)), "■", "")</f>
        <v/>
      </c>
      <c r="N23" s="55">
        <f>IF(AND($E23&lt;=DATE(2026,9,30), $F23&gt;=DATE(2026,9,1)), "■", "")</f>
        <v/>
      </c>
      <c r="O23" s="55">
        <f>IF(AND($E23&lt;=DATE(2026,10,31), $F23&gt;=DATE(2026,10,1)), "■", "")</f>
        <v/>
      </c>
      <c r="P23" s="55">
        <f>IF(AND($E23&lt;=DATE(2026,11,30), $F23&gt;=DATE(2026,11,1)), "■", "")</f>
        <v/>
      </c>
      <c r="Q23" s="55">
        <f>IF(AND($E23&lt;=DATE(2026,12,31), $F23&gt;=DATE(2026,12,1)), "■", "")</f>
        <v/>
      </c>
      <c r="R23" s="55">
        <f>IF(AND($E23&lt;=DATE(2027,1,31), $F23&gt;=DATE(2027,1,1)), "■", "")</f>
        <v/>
      </c>
      <c r="S23" s="55">
        <f>IF(AND($E23&lt;=DATE(2027,2,28), $F23&gt;=DATE(2027,2,1)), "■", "")</f>
        <v/>
      </c>
      <c r="T23" s="55">
        <f>IF(AND($E23&lt;=DATE(2027,3,31), $F23&gt;=DATE(2027,3,1)), "■", "")</f>
        <v/>
      </c>
      <c r="U23" s="55">
        <f>IF(AND($E23&lt;=DATE(2027,4,30), $F23&gt;=DATE(2027,4,1)), "■", "")</f>
        <v/>
      </c>
      <c r="V23" s="55">
        <f>IF(AND($E23&lt;=DATE(2027,5,31), $F23&gt;=DATE(2027,5,1)), "■", "")</f>
        <v/>
      </c>
      <c r="W23" s="55">
        <f>IF(AND($E23&lt;=DATE(2027,6,30), $F23&gt;=DATE(2027,6,1)), "■", "")</f>
        <v/>
      </c>
      <c r="X23" s="55">
        <f>IF(AND($E23&lt;=DATE(2027,7,31), $F23&gt;=DATE(2027,7,1)), "■", "")</f>
        <v/>
      </c>
    </row>
    <row r="24" ht="22" customHeight="1">
      <c r="A24" s="23" t="inlineStr">
        <is>
          <t>1.5.2</t>
        </is>
      </c>
      <c r="B24" s="24" t="inlineStr">
        <is>
          <t>Business Scenario Selection &amp; Test Data</t>
        </is>
      </c>
      <c r="C24" s="23" t="inlineStr">
        <is>
          <t>APM Team</t>
        </is>
      </c>
      <c r="D24" s="20" t="n">
        <v>25</v>
      </c>
      <c r="E24" s="60" t="n">
        <v>46255</v>
      </c>
      <c r="F24" s="60" t="n">
        <v>46280</v>
      </c>
      <c r="G24" s="23" t="inlineStr"/>
      <c r="H24" s="22" t="inlineStr">
        <is>
          <t>Complete</t>
        </is>
      </c>
      <c r="I24" s="29">
        <f>IF(TODAY() &lt; E24, 0, IF(TODAY() &gt;= F24, 1, (TODAY() - E24) / D24))</f>
        <v/>
      </c>
      <c r="J24" s="29">
        <f>IF(H24="Complete", 1, IF(H24="In Progress", 0.5, 0))</f>
        <v/>
      </c>
      <c r="K24" s="57" t="inlineStr">
        <is>
          <t>Mock 2</t>
        </is>
      </c>
      <c r="L24" s="24" t="inlineStr">
        <is>
          <t>Key users drafting scenarios and preparing validation criteria.</t>
        </is>
      </c>
      <c r="M24" s="55">
        <f>IF(AND($E24&lt;=DATE(2026,8,31), $F24&gt;=DATE(2026,8,1)), "■", "")</f>
        <v/>
      </c>
      <c r="N24" s="55">
        <f>IF(AND($E24&lt;=DATE(2026,9,30), $F24&gt;=DATE(2026,9,1)), "■", "")</f>
        <v/>
      </c>
      <c r="O24" s="55">
        <f>IF(AND($E24&lt;=DATE(2026,10,31), $F24&gt;=DATE(2026,10,1)), "■", "")</f>
        <v/>
      </c>
      <c r="P24" s="55">
        <f>IF(AND($E24&lt;=DATE(2026,11,30), $F24&gt;=DATE(2026,11,1)), "■", "")</f>
        <v/>
      </c>
      <c r="Q24" s="55">
        <f>IF(AND($E24&lt;=DATE(2026,12,31), $F24&gt;=DATE(2026,12,1)), "■", "")</f>
        <v/>
      </c>
      <c r="R24" s="55">
        <f>IF(AND($E24&lt;=DATE(2027,1,31), $F24&gt;=DATE(2027,1,1)), "■", "")</f>
        <v/>
      </c>
      <c r="S24" s="55">
        <f>IF(AND($E24&lt;=DATE(2027,2,28), $F24&gt;=DATE(2027,2,1)), "■", "")</f>
        <v/>
      </c>
      <c r="T24" s="55">
        <f>IF(AND($E24&lt;=DATE(2027,3,31), $F24&gt;=DATE(2027,3,1)), "■", "")</f>
        <v/>
      </c>
      <c r="U24" s="55">
        <f>IF(AND($E24&lt;=DATE(2027,4,30), $F24&gt;=DATE(2027,4,1)), "■", "")</f>
        <v/>
      </c>
      <c r="V24" s="55">
        <f>IF(AND($E24&lt;=DATE(2027,5,31), $F24&gt;=DATE(2027,5,1)), "■", "")</f>
        <v/>
      </c>
      <c r="W24" s="55">
        <f>IF(AND($E24&lt;=DATE(2027,6,30), $F24&gt;=DATE(2027,6,1)), "■", "")</f>
        <v/>
      </c>
      <c r="X24" s="55">
        <f>IF(AND($E24&lt;=DATE(2027,7,31), $F24&gt;=DATE(2027,7,1)), "■", "")</f>
        <v/>
      </c>
    </row>
    <row r="25" ht="22" customHeight="1">
      <c r="A25" s="19" t="inlineStr">
        <is>
          <t>1.5.3</t>
        </is>
      </c>
      <c r="B25" s="4" t="inlineStr">
        <is>
          <t>UAT Execution, Defect Resolution &amp; Sign-off</t>
        </is>
      </c>
      <c r="C25" s="19" t="inlineStr">
        <is>
          <t>APM Team</t>
        </is>
      </c>
      <c r="D25" s="20" t="n">
        <v>62</v>
      </c>
      <c r="E25" s="60" t="n">
        <v>46371</v>
      </c>
      <c r="F25" s="60" t="n">
        <v>46433</v>
      </c>
      <c r="G25" s="19" t="inlineStr">
        <is>
          <t>1.4.2</t>
        </is>
      </c>
      <c r="H25" s="22" t="inlineStr">
        <is>
          <t>Not Started</t>
        </is>
      </c>
      <c r="I25" s="29">
        <f>IF(TODAY() &lt; E25, 0, IF(TODAY() &gt;= F25, 1, (TODAY() - E25) / D25))</f>
        <v/>
      </c>
      <c r="J25" s="29">
        <f>IF(H25="Complete", 1, IF(H25="In Progress", 0.5, 0))</f>
        <v/>
      </c>
      <c r="K25" s="56" t="inlineStr">
        <is>
          <t>Mock 2</t>
        </is>
      </c>
      <c r="L25" s="4" t="inlineStr">
        <is>
          <t>UAT Execution Kick-Off starting Dec 15 with 100+ site users.</t>
        </is>
      </c>
      <c r="M25" s="55">
        <f>IF(AND($E25&lt;=DATE(2026,8,31), $F25&gt;=DATE(2026,8,1)), "■", "")</f>
        <v/>
      </c>
      <c r="N25" s="55">
        <f>IF(AND($E25&lt;=DATE(2026,9,30), $F25&gt;=DATE(2026,9,1)), "■", "")</f>
        <v/>
      </c>
      <c r="O25" s="55">
        <f>IF(AND($E25&lt;=DATE(2026,10,31), $F25&gt;=DATE(2026,10,1)), "■", "")</f>
        <v/>
      </c>
      <c r="P25" s="55">
        <f>IF(AND($E25&lt;=DATE(2026,11,30), $F25&gt;=DATE(2026,11,1)), "■", "")</f>
        <v/>
      </c>
      <c r="Q25" s="55">
        <f>IF(AND($E25&lt;=DATE(2026,12,31), $F25&gt;=DATE(2026,12,1)), "■", "")</f>
        <v/>
      </c>
      <c r="R25" s="55">
        <f>IF(AND($E25&lt;=DATE(2027,1,31), $F25&gt;=DATE(2027,1,1)), "■", "")</f>
        <v/>
      </c>
      <c r="S25" s="55">
        <f>IF(AND($E25&lt;=DATE(2027,2,28), $F25&gt;=DATE(2027,2,1)), "■", "")</f>
        <v/>
      </c>
      <c r="T25" s="55">
        <f>IF(AND($E25&lt;=DATE(2027,3,31), $F25&gt;=DATE(2027,3,1)), "■", "")</f>
        <v/>
      </c>
      <c r="U25" s="55">
        <f>IF(AND($E25&lt;=DATE(2027,4,30), $F25&gt;=DATE(2027,4,1)), "■", "")</f>
        <v/>
      </c>
      <c r="V25" s="55">
        <f>IF(AND($E25&lt;=DATE(2027,5,31), $F25&gt;=DATE(2027,5,1)), "■", "")</f>
        <v/>
      </c>
      <c r="W25" s="55">
        <f>IF(AND($E25&lt;=DATE(2027,6,30), $F25&gt;=DATE(2027,6,1)), "■", "")</f>
        <v/>
      </c>
      <c r="X25" s="55">
        <f>IF(AND($E25&lt;=DATE(2027,7,31), $F25&gt;=DATE(2027,7,1)), "■", "")</f>
        <v/>
      </c>
    </row>
    <row r="26" ht="22" customHeight="1">
      <c r="A26" s="16" t="inlineStr">
        <is>
          <t>1.6</t>
        </is>
      </c>
      <c r="B26" s="17" t="inlineStr">
        <is>
          <t>Mock Cutover &amp; Dress Rehearsals</t>
        </is>
      </c>
      <c r="C26" s="16" t="inlineStr">
        <is>
          <t>Shared</t>
        </is>
      </c>
      <c r="D26" s="18">
        <f>SUM(D27:D29)</f>
        <v/>
      </c>
      <c r="E26" s="59" t="n">
        <v>46266</v>
      </c>
      <c r="F26" s="59" t="n">
        <v>46541</v>
      </c>
      <c r="G26" s="16" t="inlineStr">
        <is>
          <t>1.3</t>
        </is>
      </c>
      <c r="H26" s="16" t="inlineStr">
        <is>
          <t>In Progress</t>
        </is>
      </c>
      <c r="I26" s="28">
        <f>SUMPRODUCT(D27:D29, I27:I29)/D26</f>
        <v/>
      </c>
      <c r="J26" s="28">
        <f>SUMPRODUCT(D27:D29, J27:J29)/D26</f>
        <v/>
      </c>
      <c r="K26" s="54" t="inlineStr">
        <is>
          <t>Mock 1, 2, 3</t>
        </is>
      </c>
      <c r="L26" s="17" t="inlineStr">
        <is>
          <t>Conducting mock cutovers of increasing complexity.</t>
        </is>
      </c>
      <c r="M26" s="55">
        <f>IF(AND($E26&lt;=DATE(2026,8,31), $F26&gt;=DATE(2026,8,1)), "■", "")</f>
        <v/>
      </c>
      <c r="N26" s="55">
        <f>IF(AND($E26&lt;=DATE(2026,9,30), $F26&gt;=DATE(2026,9,1)), "■", "")</f>
        <v/>
      </c>
      <c r="O26" s="55">
        <f>IF(AND($E26&lt;=DATE(2026,10,31), $F26&gt;=DATE(2026,10,1)), "■", "")</f>
        <v/>
      </c>
      <c r="P26" s="55">
        <f>IF(AND($E26&lt;=DATE(2026,11,30), $F26&gt;=DATE(2026,11,1)), "■", "")</f>
        <v/>
      </c>
      <c r="Q26" s="55">
        <f>IF(AND($E26&lt;=DATE(2026,12,31), $F26&gt;=DATE(2026,12,1)), "■", "")</f>
        <v/>
      </c>
      <c r="R26" s="55">
        <f>IF(AND($E26&lt;=DATE(2027,1,31), $F26&gt;=DATE(2027,1,1)), "■", "")</f>
        <v/>
      </c>
      <c r="S26" s="55">
        <f>IF(AND($E26&lt;=DATE(2027,2,28), $F26&gt;=DATE(2027,2,1)), "■", "")</f>
        <v/>
      </c>
      <c r="T26" s="55">
        <f>IF(AND($E26&lt;=DATE(2027,3,31), $F26&gt;=DATE(2027,3,1)), "■", "")</f>
        <v/>
      </c>
      <c r="U26" s="55">
        <f>IF(AND($E26&lt;=DATE(2027,4,30), $F26&gt;=DATE(2027,4,1)), "■", "")</f>
        <v/>
      </c>
      <c r="V26" s="55">
        <f>IF(AND($E26&lt;=DATE(2027,5,31), $F26&gt;=DATE(2027,5,1)), "■", "")</f>
        <v/>
      </c>
      <c r="W26" s="55">
        <f>IF(AND($E26&lt;=DATE(2027,6,30), $F26&gt;=DATE(2027,6,1)), "■", "")</f>
        <v/>
      </c>
      <c r="X26" s="55">
        <f>IF(AND($E26&lt;=DATE(2027,7,31), $F26&gt;=DATE(2027,7,1)), "■", "")</f>
        <v/>
      </c>
    </row>
    <row r="27" ht="22" customHeight="1">
      <c r="A27" s="19" t="inlineStr">
        <is>
          <t>1.6.1</t>
        </is>
      </c>
      <c r="B27" s="4" t="inlineStr">
        <is>
          <t>Mock 1 Execution (Initial Connectivity)</t>
        </is>
      </c>
      <c r="C27" s="19" t="inlineStr">
        <is>
          <t>Shared</t>
        </is>
      </c>
      <c r="D27" s="20" t="n">
        <v>15</v>
      </c>
      <c r="E27" s="60" t="n">
        <v>46266</v>
      </c>
      <c r="F27" s="60" t="n">
        <v>46280</v>
      </c>
      <c r="G27" s="19" t="inlineStr">
        <is>
          <t>1.3.1</t>
        </is>
      </c>
      <c r="H27" s="22" t="inlineStr">
        <is>
          <t>Complete</t>
        </is>
      </c>
      <c r="I27" s="29">
        <f>IF(TODAY() &lt; E27, 0, IF(TODAY() &gt;= F27, 1, (TODAY() - E27) / D27))</f>
        <v/>
      </c>
      <c r="J27" s="29">
        <f>IF(H27="Complete", 1, IF(H27="In Progress", 0.5, 0))</f>
        <v/>
      </c>
      <c r="K27" s="56" t="inlineStr">
        <is>
          <t>Mock 1</t>
        </is>
      </c>
      <c r="L27" s="4" t="inlineStr">
        <is>
          <t>Testing initial data ingest in staging environment.</t>
        </is>
      </c>
      <c r="M27" s="55">
        <f>IF(AND($E27&lt;=DATE(2026,8,31), $F27&gt;=DATE(2026,8,1)), "■", "")</f>
        <v/>
      </c>
      <c r="N27" s="55">
        <f>IF(AND($E27&lt;=DATE(2026,9,30), $F27&gt;=DATE(2026,9,1)), "■", "")</f>
        <v/>
      </c>
      <c r="O27" s="55">
        <f>IF(AND($E27&lt;=DATE(2026,10,31), $F27&gt;=DATE(2026,10,1)), "■", "")</f>
        <v/>
      </c>
      <c r="P27" s="55">
        <f>IF(AND($E27&lt;=DATE(2026,11,30), $F27&gt;=DATE(2026,11,1)), "■", "")</f>
        <v/>
      </c>
      <c r="Q27" s="55">
        <f>IF(AND($E27&lt;=DATE(2026,12,31), $F27&gt;=DATE(2026,12,1)), "■", "")</f>
        <v/>
      </c>
      <c r="R27" s="55">
        <f>IF(AND($E27&lt;=DATE(2027,1,31), $F27&gt;=DATE(2027,1,1)), "■", "")</f>
        <v/>
      </c>
      <c r="S27" s="55">
        <f>IF(AND($E27&lt;=DATE(2027,2,28), $F27&gt;=DATE(2027,2,1)), "■", "")</f>
        <v/>
      </c>
      <c r="T27" s="55">
        <f>IF(AND($E27&lt;=DATE(2027,3,31), $F27&gt;=DATE(2027,3,1)), "■", "")</f>
        <v/>
      </c>
      <c r="U27" s="55">
        <f>IF(AND($E27&lt;=DATE(2027,4,30), $F27&gt;=DATE(2027,4,1)), "■", "")</f>
        <v/>
      </c>
      <c r="V27" s="55">
        <f>IF(AND($E27&lt;=DATE(2027,5,31), $F27&gt;=DATE(2027,5,1)), "■", "")</f>
        <v/>
      </c>
      <c r="W27" s="55">
        <f>IF(AND($E27&lt;=DATE(2027,6,30), $F27&gt;=DATE(2027,6,1)), "■", "")</f>
        <v/>
      </c>
      <c r="X27" s="55">
        <f>IF(AND($E27&lt;=DATE(2027,7,31), $F27&gt;=DATE(2027,7,1)), "■", "")</f>
        <v/>
      </c>
    </row>
    <row r="28" ht="22" customHeight="1">
      <c r="A28" s="23" t="inlineStr">
        <is>
          <t>1.6.2</t>
        </is>
      </c>
      <c r="B28" s="24" t="inlineStr">
        <is>
          <t>Mock 2 Execution (Data Conversion)</t>
        </is>
      </c>
      <c r="C28" s="23" t="inlineStr">
        <is>
          <t>Shared</t>
        </is>
      </c>
      <c r="D28" s="20" t="n">
        <v>30</v>
      </c>
      <c r="E28" s="60" t="n">
        <v>46341</v>
      </c>
      <c r="F28" s="60" t="n">
        <v>46371</v>
      </c>
      <c r="G28" s="23" t="inlineStr">
        <is>
          <t>1.6.1</t>
        </is>
      </c>
      <c r="H28" s="22" t="inlineStr">
        <is>
          <t>In Progress</t>
        </is>
      </c>
      <c r="I28" s="29">
        <f>IF(TODAY() &lt; E28, 0, IF(TODAY() &gt;= F28, 1, (TODAY() - E28) / D28))</f>
        <v/>
      </c>
      <c r="J28" s="29">
        <f>IF(H28="Complete", 1, IF(H28="In Progress", 0.5, 0))</f>
        <v/>
      </c>
      <c r="K28" s="57" t="inlineStr">
        <is>
          <t>Mock 2</t>
        </is>
      </c>
      <c r="L28" s="24" t="inlineStr">
        <is>
          <t>Executing location-to-plantsection data mapping on GCP.</t>
        </is>
      </c>
      <c r="M28" s="55">
        <f>IF(AND($E28&lt;=DATE(2026,8,31), $F28&gt;=DATE(2026,8,1)), "■", "")</f>
        <v/>
      </c>
      <c r="N28" s="55">
        <f>IF(AND($E28&lt;=DATE(2026,9,30), $F28&gt;=DATE(2026,9,1)), "■", "")</f>
        <v/>
      </c>
      <c r="O28" s="55">
        <f>IF(AND($E28&lt;=DATE(2026,10,31), $F28&gt;=DATE(2026,10,1)), "■", "")</f>
        <v/>
      </c>
      <c r="P28" s="55">
        <f>IF(AND($E28&lt;=DATE(2026,11,30), $F28&gt;=DATE(2026,11,1)), "■", "")</f>
        <v/>
      </c>
      <c r="Q28" s="55">
        <f>IF(AND($E28&lt;=DATE(2026,12,31), $F28&gt;=DATE(2026,12,1)), "■", "")</f>
        <v/>
      </c>
      <c r="R28" s="55">
        <f>IF(AND($E28&lt;=DATE(2027,1,31), $F28&gt;=DATE(2027,1,1)), "■", "")</f>
        <v/>
      </c>
      <c r="S28" s="55">
        <f>IF(AND($E28&lt;=DATE(2027,2,28), $F28&gt;=DATE(2027,2,1)), "■", "")</f>
        <v/>
      </c>
      <c r="T28" s="55">
        <f>IF(AND($E28&lt;=DATE(2027,3,31), $F28&gt;=DATE(2027,3,1)), "■", "")</f>
        <v/>
      </c>
      <c r="U28" s="55">
        <f>IF(AND($E28&lt;=DATE(2027,4,30), $F28&gt;=DATE(2027,4,1)), "■", "")</f>
        <v/>
      </c>
      <c r="V28" s="55">
        <f>IF(AND($E28&lt;=DATE(2027,5,31), $F28&gt;=DATE(2027,5,1)), "■", "")</f>
        <v/>
      </c>
      <c r="W28" s="55">
        <f>IF(AND($E28&lt;=DATE(2027,6,30), $F28&gt;=DATE(2027,6,1)), "■", "")</f>
        <v/>
      </c>
      <c r="X28" s="55">
        <f>IF(AND($E28&lt;=DATE(2027,7,31), $F28&gt;=DATE(2027,7,1)), "■", "")</f>
        <v/>
      </c>
    </row>
    <row r="29" ht="22" customHeight="1">
      <c r="A29" s="19" t="inlineStr">
        <is>
          <t>1.6.3</t>
        </is>
      </c>
      <c r="B29" s="4" t="inlineStr">
        <is>
          <t>Mock 3 Execution (Full Dress Rehearsal)</t>
        </is>
      </c>
      <c r="C29" s="19" t="inlineStr">
        <is>
          <t>Shared</t>
        </is>
      </c>
      <c r="D29" s="20" t="n">
        <v>167</v>
      </c>
      <c r="E29" s="60" t="n">
        <v>46374</v>
      </c>
      <c r="F29" s="60" t="n">
        <v>46541</v>
      </c>
      <c r="G29" s="19" t="inlineStr">
        <is>
          <t>1.6.2</t>
        </is>
      </c>
      <c r="H29" s="22" t="inlineStr">
        <is>
          <t>Not Started</t>
        </is>
      </c>
      <c r="I29" s="29">
        <f>IF(TODAY() &lt; E29, 0, IF(TODAY() &gt;= F29, 1, (TODAY() - E29) / D29))</f>
        <v/>
      </c>
      <c r="J29" s="29">
        <f>IF(H29="Complete", 1, IF(H29="In Progress", 0.5, 0))</f>
        <v/>
      </c>
      <c r="K29" s="56" t="inlineStr">
        <is>
          <t>Mock 3</t>
        </is>
      </c>
      <c r="L29" s="4" t="inlineStr">
        <is>
          <t>Comprehensive timed simulation mimicking ACO blackout.</t>
        </is>
      </c>
      <c r="M29" s="55">
        <f>IF(AND($E29&lt;=DATE(2026,8,31), $F29&gt;=DATE(2026,8,1)), "■", "")</f>
        <v/>
      </c>
      <c r="N29" s="55">
        <f>IF(AND($E29&lt;=DATE(2026,9,30), $F29&gt;=DATE(2026,9,1)), "■", "")</f>
        <v/>
      </c>
      <c r="O29" s="55">
        <f>IF(AND($E29&lt;=DATE(2026,10,31), $F29&gt;=DATE(2026,10,1)), "■", "")</f>
        <v/>
      </c>
      <c r="P29" s="55">
        <f>IF(AND($E29&lt;=DATE(2026,11,30), $F29&gt;=DATE(2026,11,1)), "■", "")</f>
        <v/>
      </c>
      <c r="Q29" s="55">
        <f>IF(AND($E29&lt;=DATE(2026,12,31), $F29&gt;=DATE(2026,12,1)), "■", "")</f>
        <v/>
      </c>
      <c r="R29" s="55">
        <f>IF(AND($E29&lt;=DATE(2027,1,31), $F29&gt;=DATE(2027,1,1)), "■", "")</f>
        <v/>
      </c>
      <c r="S29" s="55">
        <f>IF(AND($E29&lt;=DATE(2027,2,28), $F29&gt;=DATE(2027,2,1)), "■", "")</f>
        <v/>
      </c>
      <c r="T29" s="55">
        <f>IF(AND($E29&lt;=DATE(2027,3,31), $F29&gt;=DATE(2027,3,1)), "■", "")</f>
        <v/>
      </c>
      <c r="U29" s="55">
        <f>IF(AND($E29&lt;=DATE(2027,4,30), $F29&gt;=DATE(2027,4,1)), "■", "")</f>
        <v/>
      </c>
      <c r="V29" s="55">
        <f>IF(AND($E29&lt;=DATE(2027,5,31), $F29&gt;=DATE(2027,5,1)), "■", "")</f>
        <v/>
      </c>
      <c r="W29" s="55">
        <f>IF(AND($E29&lt;=DATE(2027,6,30), $F29&gt;=DATE(2027,6,1)), "■", "")</f>
        <v/>
      </c>
      <c r="X29" s="55">
        <f>IF(AND($E29&lt;=DATE(2027,7,31), $F29&gt;=DATE(2027,7,1)), "■", "")</f>
        <v/>
      </c>
    </row>
    <row r="30" ht="22" customHeight="1">
      <c r="A30" s="16" t="inlineStr">
        <is>
          <t>1.7</t>
        </is>
      </c>
      <c r="B30" s="17" t="inlineStr">
        <is>
          <t>Cutover &amp; Go-Live Execution (ACO)</t>
        </is>
      </c>
      <c r="C30" s="16" t="inlineStr">
        <is>
          <t>Shared</t>
        </is>
      </c>
      <c r="D30" s="18">
        <f>SUM(D31:D33)</f>
        <v/>
      </c>
      <c r="E30" s="59" t="n">
        <v>46496</v>
      </c>
      <c r="F30" s="59" t="n">
        <v>46569</v>
      </c>
      <c r="G30" s="16" t="inlineStr">
        <is>
          <t>1.6.3</t>
        </is>
      </c>
      <c r="H30" s="16" t="inlineStr">
        <is>
          <t>Not Started</t>
        </is>
      </c>
      <c r="I30" s="28">
        <f>SUMPRODUCT(D31:D33, I31:I33)/D30</f>
        <v/>
      </c>
      <c r="J30" s="28">
        <f>SUMPRODUCT(D31:D33, J31:J33)/D30</f>
        <v/>
      </c>
      <c r="K30" s="54" t="inlineStr">
        <is>
          <t>Mock 3</t>
        </is>
      </c>
      <c r="L30" s="17" t="inlineStr">
        <is>
          <t>Executing the actual cutover and launch sequence.</t>
        </is>
      </c>
      <c r="M30" s="55">
        <f>IF(AND($E30&lt;=DATE(2026,8,31), $F30&gt;=DATE(2026,8,1)), "■", "")</f>
        <v/>
      </c>
      <c r="N30" s="55">
        <f>IF(AND($E30&lt;=DATE(2026,9,30), $F30&gt;=DATE(2026,9,1)), "■", "")</f>
        <v/>
      </c>
      <c r="O30" s="55">
        <f>IF(AND($E30&lt;=DATE(2026,10,31), $F30&gt;=DATE(2026,10,1)), "■", "")</f>
        <v/>
      </c>
      <c r="P30" s="55">
        <f>IF(AND($E30&lt;=DATE(2026,11,30), $F30&gt;=DATE(2026,11,1)), "■", "")</f>
        <v/>
      </c>
      <c r="Q30" s="55">
        <f>IF(AND($E30&lt;=DATE(2026,12,31), $F30&gt;=DATE(2026,12,1)), "■", "")</f>
        <v/>
      </c>
      <c r="R30" s="55">
        <f>IF(AND($E30&lt;=DATE(2027,1,31), $F30&gt;=DATE(2027,1,1)), "■", "")</f>
        <v/>
      </c>
      <c r="S30" s="55">
        <f>IF(AND($E30&lt;=DATE(2027,2,28), $F30&gt;=DATE(2027,2,1)), "■", "")</f>
        <v/>
      </c>
      <c r="T30" s="55">
        <f>IF(AND($E30&lt;=DATE(2027,3,31), $F30&gt;=DATE(2027,3,1)), "■", "")</f>
        <v/>
      </c>
      <c r="U30" s="55">
        <f>IF(AND($E30&lt;=DATE(2027,4,30), $F30&gt;=DATE(2027,4,1)), "■", "")</f>
        <v/>
      </c>
      <c r="V30" s="55">
        <f>IF(AND($E30&lt;=DATE(2027,5,31), $F30&gt;=DATE(2027,5,1)), "■", "")</f>
        <v/>
      </c>
      <c r="W30" s="55">
        <f>IF(AND($E30&lt;=DATE(2027,6,30), $F30&gt;=DATE(2027,6,1)), "■", "")</f>
        <v/>
      </c>
      <c r="X30" s="55">
        <f>IF(AND($E30&lt;=DATE(2027,7,31), $F30&gt;=DATE(2027,7,1)), "■", "")</f>
        <v/>
      </c>
    </row>
    <row r="31" ht="22" customHeight="1">
      <c r="A31" s="19" t="inlineStr">
        <is>
          <t>1.7.1</t>
        </is>
      </c>
      <c r="B31" s="4" t="inlineStr">
        <is>
          <t>Ramp Down Activities</t>
        </is>
      </c>
      <c r="C31" s="19" t="inlineStr">
        <is>
          <t>APM Team</t>
        </is>
      </c>
      <c r="D31" s="20" t="n">
        <v>15</v>
      </c>
      <c r="E31" s="60" t="n">
        <v>46539</v>
      </c>
      <c r="F31" s="60" t="n">
        <v>46553</v>
      </c>
      <c r="G31" s="19" t="inlineStr">
        <is>
          <t>1.7.2</t>
        </is>
      </c>
      <c r="H31" s="22" t="inlineStr">
        <is>
          <t>Not Started</t>
        </is>
      </c>
      <c r="I31" s="29">
        <f>IF(TODAY() &lt; E31, 0, IF(TODAY() &gt;= F31, 1, (TODAY() - E31) / D31))</f>
        <v/>
      </c>
      <c r="J31" s="29">
        <f>IF(H31="Complete", 1, IF(H31="In Progress", 0.5, 0))</f>
        <v/>
      </c>
      <c r="K31" s="56" t="inlineStr">
        <is>
          <t>Mock 3</t>
        </is>
      </c>
      <c r="L31" s="4" t="inlineStr">
        <is>
          <t>Freezing and cleansing legacy notifications.</t>
        </is>
      </c>
      <c r="M31" s="55">
        <f>IF(AND($E31&lt;=DATE(2026,8,31), $F31&gt;=DATE(2026,8,1)), "■", "")</f>
        <v/>
      </c>
      <c r="N31" s="55">
        <f>IF(AND($E31&lt;=DATE(2026,9,30), $F31&gt;=DATE(2026,9,1)), "■", "")</f>
        <v/>
      </c>
      <c r="O31" s="55">
        <f>IF(AND($E31&lt;=DATE(2026,10,31), $F31&gt;=DATE(2026,10,1)), "■", "")</f>
        <v/>
      </c>
      <c r="P31" s="55">
        <f>IF(AND($E31&lt;=DATE(2026,11,30), $F31&gt;=DATE(2026,11,1)), "■", "")</f>
        <v/>
      </c>
      <c r="Q31" s="55">
        <f>IF(AND($E31&lt;=DATE(2026,12,31), $F31&gt;=DATE(2026,12,1)), "■", "")</f>
        <v/>
      </c>
      <c r="R31" s="55">
        <f>IF(AND($E31&lt;=DATE(2027,1,31), $F31&gt;=DATE(2027,1,1)), "■", "")</f>
        <v/>
      </c>
      <c r="S31" s="55">
        <f>IF(AND($E31&lt;=DATE(2027,2,28), $F31&gt;=DATE(2027,2,1)), "■", "")</f>
        <v/>
      </c>
      <c r="T31" s="55">
        <f>IF(AND($E31&lt;=DATE(2027,3,31), $F31&gt;=DATE(2027,3,1)), "■", "")</f>
        <v/>
      </c>
      <c r="U31" s="55">
        <f>IF(AND($E31&lt;=DATE(2027,4,30), $F31&gt;=DATE(2027,4,1)), "■", "")</f>
        <v/>
      </c>
      <c r="V31" s="55">
        <f>IF(AND($E31&lt;=DATE(2027,5,31), $F31&gt;=DATE(2027,5,1)), "■", "")</f>
        <v/>
      </c>
      <c r="W31" s="55">
        <f>IF(AND($E31&lt;=DATE(2027,6,30), $F31&gt;=DATE(2027,6,1)), "■", "")</f>
        <v/>
      </c>
      <c r="X31" s="55">
        <f>IF(AND($E31&lt;=DATE(2027,7,31), $F31&gt;=DATE(2027,7,1)), "■", "")</f>
        <v/>
      </c>
    </row>
    <row r="32" ht="22" customHeight="1">
      <c r="A32" s="23" t="inlineStr">
        <is>
          <t>1.7.2</t>
        </is>
      </c>
      <c r="B32" s="24" t="inlineStr">
        <is>
          <t>Blackout Window Execution</t>
        </is>
      </c>
      <c r="C32" s="23" t="inlineStr">
        <is>
          <t>Shared</t>
        </is>
      </c>
      <c r="D32" s="20" t="n">
        <v>5</v>
      </c>
      <c r="E32" s="60" t="n">
        <v>46563</v>
      </c>
      <c r="F32" s="60" t="n">
        <v>46568</v>
      </c>
      <c r="G32" s="23" t="inlineStr">
        <is>
          <t>1.7.1</t>
        </is>
      </c>
      <c r="H32" s="22" t="inlineStr">
        <is>
          <t>Not Started</t>
        </is>
      </c>
      <c r="I32" s="29">
        <f>IF(TODAY() &lt; E32, 0, IF(TODAY() &gt;= F32, 1, (TODAY() - E32) / D32))</f>
        <v/>
      </c>
      <c r="J32" s="29">
        <f>IF(H32="Complete", 1, IF(H32="In Progress", 0.5, 0))</f>
        <v/>
      </c>
      <c r="K32" s="57" t="inlineStr">
        <is>
          <t>Mock 3</t>
        </is>
      </c>
      <c r="L32" s="24" t="inlineStr">
        <is>
          <t>Stopping data creation, backup, and GCP data conversion.</t>
        </is>
      </c>
      <c r="M32" s="55">
        <f>IF(AND($E32&lt;=DATE(2026,8,31), $F32&gt;=DATE(2026,8,1)), "■", "")</f>
        <v/>
      </c>
      <c r="N32" s="55">
        <f>IF(AND($E32&lt;=DATE(2026,9,30), $F32&gt;=DATE(2026,9,1)), "■", "")</f>
        <v/>
      </c>
      <c r="O32" s="55">
        <f>IF(AND($E32&lt;=DATE(2026,10,31), $F32&gt;=DATE(2026,10,1)), "■", "")</f>
        <v/>
      </c>
      <c r="P32" s="55">
        <f>IF(AND($E32&lt;=DATE(2026,11,30), $F32&gt;=DATE(2026,11,1)), "■", "")</f>
        <v/>
      </c>
      <c r="Q32" s="55">
        <f>IF(AND($E32&lt;=DATE(2026,12,31), $F32&gt;=DATE(2026,12,1)), "■", "")</f>
        <v/>
      </c>
      <c r="R32" s="55">
        <f>IF(AND($E32&lt;=DATE(2027,1,31), $F32&gt;=DATE(2027,1,1)), "■", "")</f>
        <v/>
      </c>
      <c r="S32" s="55">
        <f>IF(AND($E32&lt;=DATE(2027,2,28), $F32&gt;=DATE(2027,2,1)), "■", "")</f>
        <v/>
      </c>
      <c r="T32" s="55">
        <f>IF(AND($E32&lt;=DATE(2027,3,31), $F32&gt;=DATE(2027,3,1)), "■", "")</f>
        <v/>
      </c>
      <c r="U32" s="55">
        <f>IF(AND($E32&lt;=DATE(2027,4,30), $F32&gt;=DATE(2027,4,1)), "■", "")</f>
        <v/>
      </c>
      <c r="V32" s="55">
        <f>IF(AND($E32&lt;=DATE(2027,5,31), $F32&gt;=DATE(2027,5,1)), "■", "")</f>
        <v/>
      </c>
      <c r="W32" s="55">
        <f>IF(AND($E32&lt;=DATE(2027,6,30), $F32&gt;=DATE(2027,6,1)), "■", "")</f>
        <v/>
      </c>
      <c r="X32" s="55">
        <f>IF(AND($E32&lt;=DATE(2027,7,31), $F32&gt;=DATE(2027,7,1)), "■", "")</f>
        <v/>
      </c>
    </row>
    <row r="33" ht="22" customHeight="1">
      <c r="A33" s="19" t="inlineStr">
        <is>
          <t>1.7.3</t>
        </is>
      </c>
      <c r="B33" s="4" t="inlineStr">
        <is>
          <t>Ramp Up (Application Startup &amp; Go-Live)</t>
        </is>
      </c>
      <c r="C33" s="19" t="inlineStr">
        <is>
          <t>Shared</t>
        </is>
      </c>
      <c r="D33" s="20" t="n">
        <v>1</v>
      </c>
      <c r="E33" s="60" t="n">
        <v>46569</v>
      </c>
      <c r="F33" s="60" t="n">
        <v>46569</v>
      </c>
      <c r="G33" s="19" t="inlineStr">
        <is>
          <t>1.7.2</t>
        </is>
      </c>
      <c r="H33" s="22" t="inlineStr">
        <is>
          <t>Not Started</t>
        </is>
      </c>
      <c r="I33" s="29">
        <f>IF(TODAY() &lt; E33, 0, IF(TODAY() &gt;= F33, 1, (TODAY() - E33) / D33))</f>
        <v/>
      </c>
      <c r="J33" s="29">
        <f>IF(H33="Complete", 1, IF(H33="In Progress", 0.5, 0))</f>
        <v/>
      </c>
      <c r="K33" s="56" t="inlineStr">
        <is>
          <t>Mock 3</t>
        </is>
      </c>
      <c r="L33" s="4" t="inlineStr">
        <is>
          <t>APM Application startup at 08:01 on July 1 target date.</t>
        </is>
      </c>
      <c r="M33" s="55">
        <f>IF(AND($E33&lt;=DATE(2026,8,31), $F33&gt;=DATE(2026,8,1)), "■", "")</f>
        <v/>
      </c>
      <c r="N33" s="55">
        <f>IF(AND($E33&lt;=DATE(2026,9,30), $F33&gt;=DATE(2026,9,1)), "■", "")</f>
        <v/>
      </c>
      <c r="O33" s="55">
        <f>IF(AND($E33&lt;=DATE(2026,10,31), $F33&gt;=DATE(2026,10,1)), "■", "")</f>
        <v/>
      </c>
      <c r="P33" s="55">
        <f>IF(AND($E33&lt;=DATE(2026,11,30), $F33&gt;=DATE(2026,11,1)), "■", "")</f>
        <v/>
      </c>
      <c r="Q33" s="55">
        <f>IF(AND($E33&lt;=DATE(2026,12,31), $F33&gt;=DATE(2026,12,1)), "■", "")</f>
        <v/>
      </c>
      <c r="R33" s="55">
        <f>IF(AND($E33&lt;=DATE(2027,1,31), $F33&gt;=DATE(2027,1,1)), "■", "")</f>
        <v/>
      </c>
      <c r="S33" s="55">
        <f>IF(AND($E33&lt;=DATE(2027,2,28), $F33&gt;=DATE(2027,2,1)), "■", "")</f>
        <v/>
      </c>
      <c r="T33" s="55">
        <f>IF(AND($E33&lt;=DATE(2027,3,31), $F33&gt;=DATE(2027,3,1)), "■", "")</f>
        <v/>
      </c>
      <c r="U33" s="55">
        <f>IF(AND($E33&lt;=DATE(2027,4,30), $F33&gt;=DATE(2027,4,1)), "■", "")</f>
        <v/>
      </c>
      <c r="V33" s="55">
        <f>IF(AND($E33&lt;=DATE(2027,5,31), $F33&gt;=DATE(2027,5,1)), "■", "")</f>
        <v/>
      </c>
      <c r="W33" s="55">
        <f>IF(AND($E33&lt;=DATE(2027,6,30), $F33&gt;=DATE(2027,6,1)), "■", "")</f>
        <v/>
      </c>
      <c r="X33" s="55">
        <f>IF(AND($E33&lt;=DATE(2027,7,31), $F33&gt;=DATE(2027,7,1)), "■", "")</f>
        <v/>
      </c>
    </row>
    <row r="34" ht="22" customHeight="1">
      <c r="A34" s="16" t="inlineStr">
        <is>
          <t>1.8</t>
        </is>
      </c>
      <c r="B34" s="17" t="inlineStr">
        <is>
          <t>Training &amp; Post Go-Live Support</t>
        </is>
      </c>
      <c r="C34" s="16" t="inlineStr">
        <is>
          <t>Shared</t>
        </is>
      </c>
      <c r="D34" s="18">
        <f>SUM(D35:D36)</f>
        <v/>
      </c>
      <c r="E34" s="59" t="n">
        <v>46539</v>
      </c>
      <c r="F34" s="59" t="n">
        <v>46599</v>
      </c>
      <c r="G34" s="16" t="inlineStr">
        <is>
          <t>1.7.3</t>
        </is>
      </c>
      <c r="H34" s="16" t="inlineStr">
        <is>
          <t>Not Started</t>
        </is>
      </c>
      <c r="I34" s="28">
        <f>SUMPRODUCT(D35:D36, I35:I36)/D34</f>
        <v/>
      </c>
      <c r="J34" s="28">
        <f>SUMPRODUCT(D35:D36, J35:J36)/D34</f>
        <v/>
      </c>
      <c r="K34" s="54" t="inlineStr">
        <is>
          <t>Mock 3</t>
        </is>
      </c>
      <c r="L34" s="17" t="inlineStr">
        <is>
          <t>Providing Hypercare and change enablement to users.</t>
        </is>
      </c>
      <c r="M34" s="55">
        <f>IF(AND($E34&lt;=DATE(2026,8,31), $F34&gt;=DATE(2026,8,1)), "■", "")</f>
        <v/>
      </c>
      <c r="N34" s="55">
        <f>IF(AND($E34&lt;=DATE(2026,9,30), $F34&gt;=DATE(2026,9,1)), "■", "")</f>
        <v/>
      </c>
      <c r="O34" s="55">
        <f>IF(AND($E34&lt;=DATE(2026,10,31), $F34&gt;=DATE(2026,10,1)), "■", "")</f>
        <v/>
      </c>
      <c r="P34" s="55">
        <f>IF(AND($E34&lt;=DATE(2026,11,30), $F34&gt;=DATE(2026,11,1)), "■", "")</f>
        <v/>
      </c>
      <c r="Q34" s="55">
        <f>IF(AND($E34&lt;=DATE(2026,12,31), $F34&gt;=DATE(2026,12,1)), "■", "")</f>
        <v/>
      </c>
      <c r="R34" s="55">
        <f>IF(AND($E34&lt;=DATE(2027,1,31), $F34&gt;=DATE(2027,1,1)), "■", "")</f>
        <v/>
      </c>
      <c r="S34" s="55">
        <f>IF(AND($E34&lt;=DATE(2027,2,28), $F34&gt;=DATE(2027,2,1)), "■", "")</f>
        <v/>
      </c>
      <c r="T34" s="55">
        <f>IF(AND($E34&lt;=DATE(2027,3,31), $F34&gt;=DATE(2027,3,1)), "■", "")</f>
        <v/>
      </c>
      <c r="U34" s="55">
        <f>IF(AND($E34&lt;=DATE(2027,4,30), $F34&gt;=DATE(2027,4,1)), "■", "")</f>
        <v/>
      </c>
      <c r="V34" s="55">
        <f>IF(AND($E34&lt;=DATE(2027,5,31), $F34&gt;=DATE(2027,5,1)), "■", "")</f>
        <v/>
      </c>
      <c r="W34" s="55">
        <f>IF(AND($E34&lt;=DATE(2027,6,30), $F34&gt;=DATE(2027,6,1)), "■", "")</f>
        <v/>
      </c>
      <c r="X34" s="55">
        <f>IF(AND($E34&lt;=DATE(2027,7,31), $F34&gt;=DATE(2027,7,1)), "■", "")</f>
        <v/>
      </c>
    </row>
    <row r="35" ht="22" customHeight="1">
      <c r="A35" s="19" t="inlineStr">
        <is>
          <t>1.8.1</t>
        </is>
      </c>
      <c r="B35" s="4" t="inlineStr">
        <is>
          <t>Key User Training &amp; End User Training</t>
        </is>
      </c>
      <c r="C35" s="19" t="inlineStr">
        <is>
          <t>APM Team</t>
        </is>
      </c>
      <c r="D35" s="20" t="n">
        <v>30</v>
      </c>
      <c r="E35" s="60" t="n">
        <v>46539</v>
      </c>
      <c r="F35" s="60" t="n">
        <v>46568</v>
      </c>
      <c r="G35" s="19" t="inlineStr">
        <is>
          <t>1.5.3</t>
        </is>
      </c>
      <c r="H35" s="22" t="inlineStr">
        <is>
          <t>Not Started</t>
        </is>
      </c>
      <c r="I35" s="29">
        <f>IF(TODAY() &lt; E35, 0, IF(TODAY() &gt;= F35, 1, (TODAY() - E35) / D35))</f>
        <v/>
      </c>
      <c r="J35" s="29">
        <f>IF(H35="Complete", 1, IF(H35="In Progress", 0.5, 0))</f>
        <v/>
      </c>
      <c r="K35" s="56" t="inlineStr">
        <is>
          <t>Mock 3</t>
        </is>
      </c>
      <c r="L35" s="4" t="inlineStr">
        <is>
          <t>Conducting KUT and EUT to prepare site maintenance engineers.</t>
        </is>
      </c>
      <c r="M35" s="55">
        <f>IF(AND($E35&lt;=DATE(2026,8,31), $F35&gt;=DATE(2026,8,1)), "■", "")</f>
        <v/>
      </c>
      <c r="N35" s="55">
        <f>IF(AND($E35&lt;=DATE(2026,9,30), $F35&gt;=DATE(2026,9,1)), "■", "")</f>
        <v/>
      </c>
      <c r="O35" s="55">
        <f>IF(AND($E35&lt;=DATE(2026,10,31), $F35&gt;=DATE(2026,10,1)), "■", "")</f>
        <v/>
      </c>
      <c r="P35" s="55">
        <f>IF(AND($E35&lt;=DATE(2026,11,30), $F35&gt;=DATE(2026,11,1)), "■", "")</f>
        <v/>
      </c>
      <c r="Q35" s="55">
        <f>IF(AND($E35&lt;=DATE(2026,12,31), $F35&gt;=DATE(2026,12,1)), "■", "")</f>
        <v/>
      </c>
      <c r="R35" s="55">
        <f>IF(AND($E35&lt;=DATE(2027,1,31), $F35&gt;=DATE(2027,1,1)), "■", "")</f>
        <v/>
      </c>
      <c r="S35" s="55">
        <f>IF(AND($E35&lt;=DATE(2027,2,28), $F35&gt;=DATE(2027,2,1)), "■", "")</f>
        <v/>
      </c>
      <c r="T35" s="55">
        <f>IF(AND($E35&lt;=DATE(2027,3,31), $F35&gt;=DATE(2027,3,1)), "■", "")</f>
        <v/>
      </c>
      <c r="U35" s="55">
        <f>IF(AND($E35&lt;=DATE(2027,4,30), $F35&gt;=DATE(2027,4,1)), "■", "")</f>
        <v/>
      </c>
      <c r="V35" s="55">
        <f>IF(AND($E35&lt;=DATE(2027,5,31), $F35&gt;=DATE(2027,5,1)), "■", "")</f>
        <v/>
      </c>
      <c r="W35" s="55">
        <f>IF(AND($E35&lt;=DATE(2027,6,30), $F35&gt;=DATE(2027,6,1)), "■", "")</f>
        <v/>
      </c>
      <c r="X35" s="55">
        <f>IF(AND($E35&lt;=DATE(2027,7,31), $F35&gt;=DATE(2027,7,1)), "■", "")</f>
        <v/>
      </c>
    </row>
    <row r="36" ht="22" customHeight="1">
      <c r="A36" s="23" t="inlineStr">
        <is>
          <t>1.8.2</t>
        </is>
      </c>
      <c r="B36" s="24" t="inlineStr">
        <is>
          <t>Hypercare Support Operations</t>
        </is>
      </c>
      <c r="C36" s="23" t="inlineStr">
        <is>
          <t>Shared</t>
        </is>
      </c>
      <c r="D36" s="20" t="n">
        <v>30</v>
      </c>
      <c r="E36" s="60" t="n">
        <v>46569</v>
      </c>
      <c r="F36" s="60" t="n">
        <v>46599</v>
      </c>
      <c r="G36" s="23" t="inlineStr">
        <is>
          <t>1.7.3</t>
        </is>
      </c>
      <c r="H36" s="22" t="inlineStr">
        <is>
          <t>Not Started</t>
        </is>
      </c>
      <c r="I36" s="29">
        <f>IF(TODAY() &lt; E36, 0, IF(TODAY() &gt;= F36, 1, (TODAY() - E36) / D36))</f>
        <v/>
      </c>
      <c r="J36" s="29">
        <f>IF(H36="Complete", 1, IF(H36="In Progress", 0.5, 0))</f>
        <v/>
      </c>
      <c r="K36" s="57" t="inlineStr">
        <is>
          <t>Mock 3</t>
        </is>
      </c>
      <c r="L36" s="24" t="inlineStr">
        <is>
          <t>War-room support post-launch (PGLS phase).</t>
        </is>
      </c>
      <c r="M36" s="55">
        <f>IF(AND($E36&lt;=DATE(2026,8,31), $F36&gt;=DATE(2026,8,1)), "■", "")</f>
        <v/>
      </c>
      <c r="N36" s="55">
        <f>IF(AND($E36&lt;=DATE(2026,9,30), $F36&gt;=DATE(2026,9,1)), "■", "")</f>
        <v/>
      </c>
      <c r="O36" s="55">
        <f>IF(AND($E36&lt;=DATE(2026,10,31), $F36&gt;=DATE(2026,10,1)), "■", "")</f>
        <v/>
      </c>
      <c r="P36" s="55">
        <f>IF(AND($E36&lt;=DATE(2026,11,30), $F36&gt;=DATE(2026,11,1)), "■", "")</f>
        <v/>
      </c>
      <c r="Q36" s="55">
        <f>IF(AND($E36&lt;=DATE(2026,12,31), $F36&gt;=DATE(2026,12,1)), "■", "")</f>
        <v/>
      </c>
      <c r="R36" s="55">
        <f>IF(AND($E36&lt;=DATE(2027,1,31), $F36&gt;=DATE(2027,1,1)), "■", "")</f>
        <v/>
      </c>
      <c r="S36" s="55">
        <f>IF(AND($E36&lt;=DATE(2027,2,28), $F36&gt;=DATE(2027,2,1)), "■", "")</f>
        <v/>
      </c>
      <c r="T36" s="55">
        <f>IF(AND($E36&lt;=DATE(2027,3,31), $F36&gt;=DATE(2027,3,1)), "■", "")</f>
        <v/>
      </c>
      <c r="U36" s="55">
        <f>IF(AND($E36&lt;=DATE(2027,4,30), $F36&gt;=DATE(2027,4,1)), "■", "")</f>
        <v/>
      </c>
      <c r="V36" s="55">
        <f>IF(AND($E36&lt;=DATE(2027,5,31), $F36&gt;=DATE(2027,5,1)), "■", "")</f>
        <v/>
      </c>
      <c r="W36" s="55">
        <f>IF(AND($E36&lt;=DATE(2027,6,30), $F36&gt;=DATE(2027,6,1)), "■", "")</f>
        <v/>
      </c>
      <c r="X36" s="55">
        <f>IF(AND($E36&lt;=DATE(2027,7,31), $F36&gt;=DATE(2027,7,1)), "■", "")</f>
        <v/>
      </c>
    </row>
  </sheetData>
  <mergeCells count="1">
    <mergeCell ref="A1:X1"/>
  </mergeCells>
  <conditionalFormatting sqref="M5:X36">
    <cfRule type="cellIs" priority="1" operator="equal" dxfId="0">
      <formula>"■"</formula>
    </cfRule>
  </conditionalFormatting>
  <dataValidations count="2">
    <dataValidation sqref="H5:H36" showDropDown="0" showInputMessage="0" showErrorMessage="0" allowBlank="1" errorTitle="Invalid Entry" error="Your entry is not in the list" promptTitle="Task Status" prompt="Select status from list" type="list">
      <formula1>"Not Started,In Progress,Complete,Blocked"</formula1>
    </dataValidation>
    <dataValidation sqref="C5:C36" showDropDown="0" showInputMessage="0" showErrorMessage="0" allowBlank="1" errorTitle="Invalid Entry" error="Your entry is not in the list" promptTitle="Ownership Group" prompt="Select ownership" type="list">
      <formula1>"APM Team,SAP Team,Shared"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8" customWidth="1" min="3" max="3"/>
    <col width="14" customWidth="1" min="4" max="4"/>
    <col width="22" customWidth="1" min="5" max="5"/>
    <col width="22" customWidth="1" min="6" max="6"/>
    <col width="15" customWidth="1" min="7" max="7"/>
    <col width="12" customWidth="1" min="8" max="8"/>
    <col width="12" customWidth="1" min="9" max="9"/>
    <col width="85" customWidth="1" min="10" max="10"/>
  </cols>
  <sheetData>
    <row r="1" ht="40" customHeight="1">
      <c r="A1" s="30" t="inlineStr">
        <is>
          <t>PTTEP EP APM (MNT12) - Detailed Cutover Plan &amp; Runbook</t>
        </is>
      </c>
    </row>
    <row r="2" ht="25" customHeight="1">
      <c r="A2" s="31" t="inlineStr">
        <is>
          <t>KPI Metrics</t>
        </is>
      </c>
      <c r="B2" s="32" t="inlineStr">
        <is>
          <t>Total Tasks:</t>
        </is>
      </c>
      <c r="C2" s="33">
        <f>COUNTA(A5:A17)</f>
        <v/>
      </c>
      <c r="D2" s="32" t="inlineStr">
        <is>
          <t>Complete %:</t>
        </is>
      </c>
      <c r="E2" s="34">
        <f>COUNTIF(G5:G17, "Complete")/COUNTA(A5:A17)</f>
        <v/>
      </c>
    </row>
    <row r="3" ht="15" customHeight="1"/>
    <row r="4" ht="28" customHeight="1">
      <c r="A4" s="35" t="inlineStr">
        <is>
          <t>WBS Code</t>
        </is>
      </c>
      <c r="B4" s="35" t="inlineStr">
        <is>
          <t>Stage</t>
        </is>
      </c>
      <c r="C4" s="35" t="inlineStr">
        <is>
          <t>Task Description</t>
        </is>
      </c>
      <c r="D4" s="35" t="inlineStr">
        <is>
          <t>Ownership</t>
        </is>
      </c>
      <c r="E4" s="35" t="inlineStr">
        <is>
          <t>Planned Start Date/Time</t>
        </is>
      </c>
      <c r="F4" s="35" t="inlineStr">
        <is>
          <t>Planned End Date/Time</t>
        </is>
      </c>
      <c r="G4" s="35" t="inlineStr">
        <is>
          <t>Status</t>
        </is>
      </c>
      <c r="H4" s="35" t="inlineStr">
        <is>
          <t>% Plan</t>
        </is>
      </c>
      <c r="I4" s="35" t="inlineStr">
        <is>
          <t>% Actual</t>
        </is>
      </c>
      <c r="J4" s="35" t="inlineStr">
        <is>
          <t>Detailed Description &amp; Rationale (Thai/English)</t>
        </is>
      </c>
    </row>
    <row r="5" ht="22" customHeight="1">
      <c r="A5" s="36" t="inlineStr">
        <is>
          <t>MNT12.01</t>
        </is>
      </c>
      <c r="B5" s="37" t="inlineStr">
        <is>
          <t>Ramp Down</t>
        </is>
      </c>
      <c r="C5" s="38" t="inlineStr">
        <is>
          <t>Create ticket to deploy APIgee service</t>
        </is>
      </c>
      <c r="D5" s="39" t="inlineStr">
        <is>
          <t>APM Team</t>
        </is>
      </c>
      <c r="E5" s="58" t="n">
        <v>46361</v>
      </c>
      <c r="F5" s="58" t="n">
        <v>46374.99930555555</v>
      </c>
      <c r="G5" s="39" t="inlineStr">
        <is>
          <t>Not Started</t>
        </is>
      </c>
      <c r="H5" s="41">
        <f>IF(TODAY() &lt; E5, 0, IF(TODAY() &gt;= F5, 1, IF(F5=E5, 1, (TODAY() - E5) / (F5 - E5))))</f>
        <v/>
      </c>
      <c r="I5" s="41">
        <f>IF(G5="Complete", 1, IF(G5="In Progress", 0.5, 0))</f>
        <v/>
      </c>
      <c r="J5" s="38" t="inlineStr">
        <is>
          <t>APM: สร้าง Ticket เพื่อเตรียม Deploy Apigee service (CPI outbound) ระหว่าง Ramp down [Ref: Slide: GCP Swimlane]</t>
        </is>
      </c>
    </row>
    <row r="6" ht="22" customHeight="1">
      <c r="A6" s="36" t="inlineStr">
        <is>
          <t>MNT12.02</t>
        </is>
      </c>
      <c r="B6" s="37" t="inlineStr">
        <is>
          <t>Ramp Down</t>
        </is>
      </c>
      <c r="C6" s="38" t="inlineStr">
        <is>
          <t>Master data sync up to legacy #1 Batch 1.1-1.6</t>
        </is>
      </c>
      <c r="D6" s="39" t="inlineStr">
        <is>
          <t>SAP Team</t>
        </is>
      </c>
      <c r="E6" s="58" t="n">
        <v>46375</v>
      </c>
      <c r="F6" s="58" t="n">
        <v>46377.99930555555</v>
      </c>
      <c r="G6" s="39" t="inlineStr">
        <is>
          <t>Not Started</t>
        </is>
      </c>
      <c r="H6" s="41">
        <f>IF(TODAY() &lt; E6, 0, IF(TODAY() &gt;= F6, 1, IF(F6=E6, 1, (TODAY() - E6) / (F6 - E6))))</f>
        <v/>
      </c>
      <c r="I6" s="41">
        <f>IF(G6="Complete", 1, IF(G6="In Progress", 0.5, 0))</f>
        <v/>
      </c>
      <c r="J6" s="38" t="inlineStr">
        <is>
          <t>SAP: ข้อมูล Master Data Object จาก SAP เริ่มทยอยไหลไปที่ APM [Ref: Slide: GCP Swimlane]</t>
        </is>
      </c>
    </row>
    <row r="7" ht="22" customHeight="1">
      <c r="A7" s="36" t="inlineStr">
        <is>
          <t>MNT12.03</t>
        </is>
      </c>
      <c r="B7" s="37" t="inlineStr">
        <is>
          <t>Ramp Down</t>
        </is>
      </c>
      <c r="C7" s="38" t="inlineStr">
        <is>
          <t>Last Create Notification, PM Work Order (SAP)</t>
        </is>
      </c>
      <c r="D7" s="39" t="inlineStr">
        <is>
          <t>SAP Team</t>
        </is>
      </c>
      <c r="E7" s="58" t="n">
        <v>46380.5</v>
      </c>
      <c r="F7" s="58" t="n">
        <v>46380.5</v>
      </c>
      <c r="G7" s="39" t="inlineStr">
        <is>
          <t>Not Started</t>
        </is>
      </c>
      <c r="H7" s="41">
        <f>IF(TODAY() &lt; E7, 0, IF(TODAY() &gt;= F7, 1, IF(F7=E7, 1, (TODAY() - E7) / (F7 - E7))))</f>
        <v/>
      </c>
      <c r="I7" s="41">
        <f>IF(G7="Complete", 1, IF(G7="In Progress", 0.5, 0))</f>
        <v/>
      </c>
      <c r="J7" s="38" t="inlineStr">
        <is>
          <t>SAP กำหนดให้วันที่ 24 Dec เป็นรายการสุดท้ายของ Notification และ PM Work Order [Ref: Slide: Maintenance]</t>
        </is>
      </c>
    </row>
    <row r="8" ht="22" customHeight="1">
      <c r="A8" s="36" t="inlineStr">
        <is>
          <t>MNT12.04</t>
        </is>
      </c>
      <c r="B8" s="37" t="inlineStr">
        <is>
          <t>Ramp Down</t>
        </is>
      </c>
      <c r="C8" s="38" t="inlineStr">
        <is>
          <t>Last Create Notification, PM Work Order (APM)</t>
        </is>
      </c>
      <c r="D8" s="39" t="inlineStr">
        <is>
          <t>APM Team</t>
        </is>
      </c>
      <c r="E8" s="58" t="n">
        <v>46380.50069444445</v>
      </c>
      <c r="F8" s="58" t="n">
        <v>46380.50069444445</v>
      </c>
      <c r="G8" s="39" t="inlineStr">
        <is>
          <t>Not Started</t>
        </is>
      </c>
      <c r="H8" s="41">
        <f>IF(TODAY() &lt; E8, 0, IF(TODAY() &gt;= F8, 1, IF(F8=E8, 1, (TODAY() - E8) / (F8 - E8))))</f>
        <v/>
      </c>
      <c r="I8" s="41">
        <f>IF(G8="Complete", 1, IF(G8="In Progress", 0.5, 0))</f>
        <v/>
      </c>
      <c r="J8" s="38" t="inlineStr">
        <is>
          <t>APM หยุดสร้าง Notification, PM Work Order (dependency no. 2) [Ref: Slide: Maintenance]</t>
        </is>
      </c>
    </row>
    <row r="9" ht="22" customHeight="1">
      <c r="A9" s="36" t="inlineStr">
        <is>
          <t>MNT12.05</t>
        </is>
      </c>
      <c r="B9" s="37" t="inlineStr">
        <is>
          <t>Ramp Down</t>
        </is>
      </c>
      <c r="C9" s="38" t="inlineStr">
        <is>
          <t>Deploy Apigee service to PRD</t>
        </is>
      </c>
      <c r="D9" s="39" t="inlineStr">
        <is>
          <t>SAP Team</t>
        </is>
      </c>
      <c r="E9" s="58" t="n">
        <v>46381.33333333334</v>
      </c>
      <c r="F9" s="58" t="n">
        <v>46381.70833333334</v>
      </c>
      <c r="G9" s="39" t="inlineStr">
        <is>
          <t>Not Started</t>
        </is>
      </c>
      <c r="H9" s="41">
        <f>IF(TODAY() &lt; E9, 0, IF(TODAY() &gt;= F9, 1, IF(F9=E9, 1, (TODAY() - E9) / (F9 - E9))))</f>
        <v/>
      </c>
      <c r="I9" s="41">
        <f>IF(G9="Complete", 1, IF(G9="In Progress", 0.5, 0))</f>
        <v/>
      </c>
      <c r="J9" s="38" t="inlineStr">
        <is>
          <t>CPI ทำการ Deploy Apigee service to PRD [Ref: Slide: GCP Swimlane]</t>
        </is>
      </c>
    </row>
    <row r="10" ht="22" customHeight="1">
      <c r="A10" s="36" t="inlineStr">
        <is>
          <t>MNT12.06</t>
        </is>
      </c>
      <c r="B10" s="37" t="inlineStr">
        <is>
          <t>Ramp Down</t>
        </is>
      </c>
      <c r="C10" s="38" t="inlineStr">
        <is>
          <t>Open Notification, PM Order, Measurement Document</t>
        </is>
      </c>
      <c r="D10" s="39" t="inlineStr">
        <is>
          <t>SAP Team</t>
        </is>
      </c>
      <c r="E10" s="58" t="n">
        <v>46381.75069444445</v>
      </c>
      <c r="F10" s="58" t="n">
        <v>46387.99930555555</v>
      </c>
      <c r="G10" s="39" t="inlineStr">
        <is>
          <t>Not Started</t>
        </is>
      </c>
      <c r="H10" s="41">
        <f>IF(TODAY() &lt; E10, 0, IF(TODAY() &gt;= F10, 1, IF(F10=E10, 1, (TODAY() - E10) / (F10 - E10))))</f>
        <v/>
      </c>
      <c r="I10" s="41">
        <f>IF(G10="Complete", 1, IF(G10="In Progress", 0.5, 0))</f>
        <v/>
      </c>
      <c r="J10" s="38" t="inlineStr">
        <is>
          <t>SAP: ข้อมูล Transaction Data จาก SAP เริ่มทยอยไหลไปที่ APM ระหว่าง blackout [Ref: Slide: Transaction Data]</t>
        </is>
      </c>
    </row>
    <row r="11" ht="22" customHeight="1">
      <c r="A11" s="36" t="inlineStr">
        <is>
          <t>MNT12.07</t>
        </is>
      </c>
      <c r="B11" s="42" t="inlineStr">
        <is>
          <t>Blackout</t>
        </is>
      </c>
      <c r="C11" s="38" t="inlineStr">
        <is>
          <t>APIHUB via Apigee connectivity readiness</t>
        </is>
      </c>
      <c r="D11" s="39" t="inlineStr">
        <is>
          <t>SAP Team</t>
        </is>
      </c>
      <c r="E11" s="58" t="n">
        <v>46382.33333333334</v>
      </c>
      <c r="F11" s="58" t="n">
        <v>46382.33333333334</v>
      </c>
      <c r="G11" s="39" t="inlineStr">
        <is>
          <t>Not Started</t>
        </is>
      </c>
      <c r="H11" s="41">
        <f>IF(TODAY() &lt; E11, 0, IF(TODAY() &gt;= F11, 1, IF(F11=E11, 1, (TODAY() - E11) / (F11 - E11))))</f>
        <v/>
      </c>
      <c r="I11" s="41">
        <f>IF(G11="Complete", 1, IF(G11="In Progress", 0.5, 0))</f>
        <v/>
      </c>
      <c r="J11" s="38" t="inlineStr">
        <is>
          <t>GCP: ข้อมูลจาก Data Sphere เริ่มไหลมาที่ GCP [Ref: Slide: GCP]</t>
        </is>
      </c>
    </row>
    <row r="12" ht="22" customHeight="1">
      <c r="A12" s="36" t="inlineStr">
        <is>
          <t>MNT12.08</t>
        </is>
      </c>
      <c r="B12" s="42" t="inlineStr">
        <is>
          <t>Blackout</t>
        </is>
      </c>
      <c r="C12" s="38" t="inlineStr">
        <is>
          <t>Application shutdown</t>
        </is>
      </c>
      <c r="D12" s="39" t="inlineStr">
        <is>
          <t>APM Team</t>
        </is>
      </c>
      <c r="E12" s="58" t="n">
        <v>46382.33333333334</v>
      </c>
      <c r="F12" s="58" t="n">
        <v>46388.33333333334</v>
      </c>
      <c r="G12" s="39" t="inlineStr">
        <is>
          <t>Not Started</t>
        </is>
      </c>
      <c r="H12" s="41">
        <f>IF(TODAY() &lt; E12, 0, IF(TODAY() &gt;= F12, 1, IF(F12=E12, 1, (TODAY() - E12) / (F12 - E12))))</f>
        <v/>
      </c>
      <c r="I12" s="41">
        <f>IF(G12="Complete", 1, IF(G12="In Progress", 0.5, 0))</f>
        <v/>
      </c>
      <c r="J12" s="38" t="inlineStr">
        <is>
          <t>APM ปิดระบบ เพื่อรอให้ทาง Data และ Technical เตรียม conversion และ deploy [Ref: Slide: GCP]</t>
        </is>
      </c>
    </row>
    <row r="13" ht="22" customHeight="1">
      <c r="A13" s="36" t="inlineStr">
        <is>
          <t>MNT12.09</t>
        </is>
      </c>
      <c r="B13" s="42" t="inlineStr">
        <is>
          <t>Blackout</t>
        </is>
      </c>
      <c r="C13" s="38" t="inlineStr">
        <is>
          <t>Database backup</t>
        </is>
      </c>
      <c r="D13" s="39" t="inlineStr">
        <is>
          <t>APM Team</t>
        </is>
      </c>
      <c r="E13" s="58" t="n">
        <v>46382.33333333334</v>
      </c>
      <c r="F13" s="58" t="n">
        <v>46382.33333333334</v>
      </c>
      <c r="G13" s="39" t="inlineStr">
        <is>
          <t>Not Started</t>
        </is>
      </c>
      <c r="H13" s="41">
        <f>IF(TODAY() &lt; E13, 0, IF(TODAY() &gt;= F13, 1, IF(F13=E13, 1, (TODAY() - E13) / (F13 - E13))))</f>
        <v/>
      </c>
      <c r="I13" s="41">
        <f>IF(G13="Complete", 1, IF(G13="In Progress", 0.5, 0))</f>
        <v/>
      </c>
      <c r="J13" s="38" t="inlineStr">
        <is>
          <t>APM ทำการ Backup Database [Ref: Slide: GCP]</t>
        </is>
      </c>
    </row>
    <row r="14" ht="22" customHeight="1">
      <c r="A14" s="36" t="inlineStr">
        <is>
          <t>MNT12.10</t>
        </is>
      </c>
      <c r="B14" s="42" t="inlineStr">
        <is>
          <t>Blackout</t>
        </is>
      </c>
      <c r="C14" s="38" t="inlineStr">
        <is>
          <t>Data Conversion and transformation to align with S/4 Structure</t>
        </is>
      </c>
      <c r="D14" s="39" t="inlineStr">
        <is>
          <t>APM Team</t>
        </is>
      </c>
      <c r="E14" s="58" t="n">
        <v>46382.41666666666</v>
      </c>
      <c r="F14" s="58" t="n">
        <v>46386.99930555555</v>
      </c>
      <c r="G14" s="39" t="inlineStr">
        <is>
          <t>Not Started</t>
        </is>
      </c>
      <c r="H14" s="41">
        <f>IF(TODAY() &lt; E14, 0, IF(TODAY() &gt;= F14, 1, IF(F14=E14, 1, (TODAY() - E14) / (F14 - E14))))</f>
        <v/>
      </c>
      <c r="I14" s="41">
        <f>IF(G14="Complete", 1, IF(G14="In Progress", 0.5, 0))</f>
        <v/>
      </c>
      <c r="J14" s="38" t="inlineStr">
        <is>
          <t>APM ทำการ Conversion และ Transformation ข้อมูลให้ตรงตาม S/4 Structure [Ref: Slide: GCP]</t>
        </is>
      </c>
    </row>
    <row r="15" ht="22" customHeight="1">
      <c r="A15" s="36" t="inlineStr">
        <is>
          <t>MNT12.11</t>
        </is>
      </c>
      <c r="B15" s="42" t="inlineStr">
        <is>
          <t>Blackout</t>
        </is>
      </c>
      <c r="C15" s="38" t="inlineStr">
        <is>
          <t>New deployment (DB, BE, FE)</t>
        </is>
      </c>
      <c r="D15" s="39" t="inlineStr">
        <is>
          <t>APM Team</t>
        </is>
      </c>
      <c r="E15" s="58" t="n">
        <v>46385.54166666666</v>
      </c>
      <c r="F15" s="58" t="n">
        <v>46385.54166666666</v>
      </c>
      <c r="G15" s="39" t="inlineStr">
        <is>
          <t>Not Started</t>
        </is>
      </c>
      <c r="H15" s="41">
        <f>IF(TODAY() &lt; E15, 0, IF(TODAY() &gt;= F15, 1, IF(F15=E15, 1, (TODAY() - E15) / (F15 - E15))))</f>
        <v/>
      </c>
      <c r="I15" s="41">
        <f>IF(G15="Complete", 1, IF(G15="In Progress", 0.5, 0))</f>
        <v/>
      </c>
      <c r="J15" s="38" t="inlineStr">
        <is>
          <t>APM ทำการ Deploy (DB, BE, FE) [Ref: Slide: GCP]</t>
        </is>
      </c>
    </row>
    <row r="16" ht="22" customHeight="1">
      <c r="A16" s="36" t="inlineStr">
        <is>
          <t>MNT12.12</t>
        </is>
      </c>
      <c r="B16" s="43" t="inlineStr">
        <is>
          <t>Ramp Up</t>
        </is>
      </c>
      <c r="C16" s="38" t="inlineStr">
        <is>
          <t>Application startup</t>
        </is>
      </c>
      <c r="D16" s="39" t="inlineStr">
        <is>
          <t>APM Team</t>
        </is>
      </c>
      <c r="E16" s="58" t="n">
        <v>46391.33402777778</v>
      </c>
      <c r="F16" s="58" t="n">
        <v>46391.33402777778</v>
      </c>
      <c r="G16" s="39" t="inlineStr">
        <is>
          <t>Not Started</t>
        </is>
      </c>
      <c r="H16" s="41">
        <f>IF(TODAY() &lt; E16, 0, IF(TODAY() &gt;= F16, 1, IF(F16=E16, 1, (TODAY() - E16) / (F16 - E16))))</f>
        <v/>
      </c>
      <c r="I16" s="41">
        <f>IF(G16="Complete", 1, IF(G16="In Progress", 0.5, 0))</f>
        <v/>
      </c>
      <c r="J16" s="38" t="inlineStr">
        <is>
          <t>APM เปิดระบบ กลับมาใช้งานได้ตามปกติ [Ref: Slide: GCP]</t>
        </is>
      </c>
    </row>
    <row r="17" ht="22" customHeight="1">
      <c r="A17" s="36" t="inlineStr">
        <is>
          <t>MNT12.13</t>
        </is>
      </c>
      <c r="B17" s="43" t="inlineStr">
        <is>
          <t>Ramp Up</t>
        </is>
      </c>
      <c r="C17" s="38" t="inlineStr">
        <is>
          <t>Hypercare, system monitoring</t>
        </is>
      </c>
      <c r="D17" s="39" t="inlineStr">
        <is>
          <t>Shared</t>
        </is>
      </c>
      <c r="E17" s="58" t="n">
        <v>46391</v>
      </c>
      <c r="F17" s="58" t="n">
        <v>46403.99930555555</v>
      </c>
      <c r="G17" s="39" t="inlineStr">
        <is>
          <t>Not Started</t>
        </is>
      </c>
      <c r="H17" s="41">
        <f>IF(TODAY() &lt; E17, 0, IF(TODAY() &gt;= F17, 1, IF(F17=E17, 1, (TODAY() - E17) / (F17 - E17))))</f>
        <v/>
      </c>
      <c r="I17" s="41">
        <f>IF(G17="Complete", 1, IF(G17="In Progress", 0.5, 0))</f>
        <v/>
      </c>
      <c r="J17" s="38" t="inlineStr">
        <is>
          <t>APM เตรียม Stand by ดูความเรียบร้อย และประเมินระบบหลังขึ้นระบบจริง [Ref: Slide: GCP]</t>
        </is>
      </c>
    </row>
  </sheetData>
  <mergeCells count="1">
    <mergeCell ref="A1:J1"/>
  </mergeCells>
  <dataValidations count="1">
    <dataValidation sqref="G5:G17" showDropDown="0" showInputMessage="0" showErrorMessage="0" allowBlank="1" type="list">
      <formula1>"Not Started,In Progress,Complete,Blocked"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2026-08-26T03:48:24Z</dcterms:created>
  <dcterms:modified xsi:type="dcterms:W3CDTF">2026-08-26T06:48:42Z</dcterms:modified>
</cp:coreProperties>
</file>