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inyaKamnoed\Desktop\VS Code\excel improvement\exel file\"/>
    </mc:Choice>
  </mc:AlternateContent>
  <xr:revisionPtr revIDLastSave="0" documentId="13_ncr:1_{A2722CE7-49C3-40A6-BC6E-7B1BACBCC9FC}" xr6:coauthVersionLast="47" xr6:coauthVersionMax="47" xr10:uidLastSave="{00000000-0000-0000-0000-000000000000}"/>
  <bookViews>
    <workbookView xWindow="-110" yWindow="-110" windowWidth="19420" windowHeight="11500" firstSheet="12" activeTab="12" xr2:uid="{00000000-000D-0000-FFFF-FFFF00000000}"/>
  </bookViews>
  <sheets>
    <sheet name="dashboard v1" sheetId="1" state="hidden" r:id="rId1"/>
    <sheet name="Baseline V1" sheetId="2" state="hidden" r:id="rId2"/>
    <sheet name="Baseline V2" sheetId="3" state="hidden" r:id="rId3"/>
    <sheet name="Master Plan V1" sheetId="4" state="hidden" r:id="rId4"/>
    <sheet name="Master Plan V2" sheetId="5" state="hidden" r:id="rId5"/>
    <sheet name="master Plan V3" sheetId="6" state="hidden" r:id="rId6"/>
    <sheet name="master plan V4" sheetId="7" state="hidden" r:id="rId7"/>
    <sheet name="master plan V5" sheetId="8" state="hidden" r:id="rId8"/>
    <sheet name="Requirement Baseline v5" sheetId="9" state="hidden" r:id="rId9"/>
    <sheet name="master plan v6" sheetId="10" state="hidden" r:id="rId10"/>
    <sheet name="master plan bk1" sheetId="11" state="hidden" r:id="rId11"/>
    <sheet name="baseline v4" sheetId="12" state="hidden" r:id="rId12"/>
    <sheet name="summary" sheetId="13" r:id="rId13"/>
    <sheet name="dashboard" sheetId="14" state="hidden" r:id="rId14"/>
    <sheet name="dashboard v2" sheetId="15" state="hidden" r:id="rId15"/>
    <sheet name="master plan" sheetId="16" r:id="rId16"/>
    <sheet name="baseline" sheetId="17" r:id="rId17"/>
    <sheet name="sprintday" sheetId="18" state="hidden" r:id="rId18"/>
    <sheet name="holiday" sheetId="19" state="hidden" r:id="rId19"/>
    <sheet name="baseline V3" sheetId="20" state="hidden" r:id="rId20"/>
  </sheets>
  <definedNames>
    <definedName name="_xlnm._FilterDatabase" localSheetId="16" hidden="1">baseline!$A$1:$T$163</definedName>
    <definedName name="_xlnm._FilterDatabase" localSheetId="19" hidden="1">'baseline V3'!$A$1:$T$163</definedName>
    <definedName name="_xlnm._FilterDatabase" localSheetId="11" hidden="1">'baseline v4'!$A$1:$T$163</definedName>
    <definedName name="_xlnm._FilterDatabase" localSheetId="8" hidden="1">'Requirement Baseline v5'!$A$1:$J$1</definedName>
    <definedName name="tb_baseline" localSheetId="16">baseline!$A$1:$H$163</definedName>
    <definedName name="tb_baseline" localSheetId="19">'baseline V3'!$A$1:$H$163</definedName>
    <definedName name="tb_baseline" localSheetId="13">baseline!$A$1:$H$163</definedName>
    <definedName name="tb_baseline" localSheetId="14">baseline!$A$1:$H$163</definedName>
    <definedName name="tb_baseline">'baseline v4'!$A$1:$H$163</definedName>
    <definedName name="tb_sprintday">sprintday!$A$5:$G$32</definedName>
  </definedNames>
  <calcPr calcId="191029"/>
  <pivotCaches>
    <pivotCache cacheId="0" r:id="rId21"/>
    <pivotCache cacheId="1" r:id="rId22"/>
    <pivotCache cacheId="2" r:id="rId23"/>
    <pivotCache cacheId="3" r:id="rId24"/>
    <pivotCache cacheId="4" r:id="rId25"/>
    <pivotCache cacheId="5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3" i="20" l="1"/>
  <c r="F163" i="20"/>
  <c r="G162" i="20"/>
  <c r="F162" i="20"/>
  <c r="G161" i="20"/>
  <c r="F161" i="20"/>
  <c r="G160" i="20"/>
  <c r="F160" i="20"/>
  <c r="G159" i="20"/>
  <c r="F159" i="20"/>
  <c r="G158" i="20"/>
  <c r="F158" i="20"/>
  <c r="G157" i="20"/>
  <c r="F157" i="20"/>
  <c r="G156" i="20"/>
  <c r="F156" i="20"/>
  <c r="G155" i="20"/>
  <c r="F155" i="20"/>
  <c r="G154" i="20"/>
  <c r="F154" i="20"/>
  <c r="G153" i="20"/>
  <c r="F153" i="20"/>
  <c r="G152" i="20"/>
  <c r="F152" i="20"/>
  <c r="G151" i="20"/>
  <c r="F151" i="20"/>
  <c r="G150" i="20"/>
  <c r="F150" i="20"/>
  <c r="G149" i="20"/>
  <c r="F149" i="20"/>
  <c r="G148" i="20"/>
  <c r="F148" i="20"/>
  <c r="G147" i="20"/>
  <c r="F147" i="20"/>
  <c r="G146" i="20"/>
  <c r="F146" i="20"/>
  <c r="G145" i="20"/>
  <c r="F145" i="20"/>
  <c r="G144" i="20"/>
  <c r="F144" i="20"/>
  <c r="G143" i="20"/>
  <c r="F143" i="20"/>
  <c r="G142" i="20"/>
  <c r="F142" i="20"/>
  <c r="G141" i="20"/>
  <c r="F141" i="20"/>
  <c r="G140" i="20"/>
  <c r="F140" i="20"/>
  <c r="G139" i="20"/>
  <c r="F139" i="20"/>
  <c r="G138" i="20"/>
  <c r="F138" i="20"/>
  <c r="G137" i="20"/>
  <c r="F137" i="20"/>
  <c r="G136" i="20"/>
  <c r="F136" i="20"/>
  <c r="G135" i="20"/>
  <c r="F135" i="20"/>
  <c r="G134" i="20"/>
  <c r="F134" i="20"/>
  <c r="G133" i="20"/>
  <c r="F133" i="20"/>
  <c r="G132" i="20"/>
  <c r="F132" i="20"/>
  <c r="G131" i="20"/>
  <c r="F131" i="20"/>
  <c r="G130" i="20"/>
  <c r="F130" i="20"/>
  <c r="G129" i="20"/>
  <c r="F129" i="20"/>
  <c r="G128" i="20"/>
  <c r="F128" i="20"/>
  <c r="G127" i="20"/>
  <c r="F127" i="20"/>
  <c r="G126" i="20"/>
  <c r="F126" i="20"/>
  <c r="G125" i="20"/>
  <c r="F125" i="20"/>
  <c r="G124" i="20"/>
  <c r="F124" i="20"/>
  <c r="G123" i="20"/>
  <c r="F123" i="20"/>
  <c r="G122" i="20"/>
  <c r="F122" i="20"/>
  <c r="G121" i="20"/>
  <c r="F121" i="20"/>
  <c r="G120" i="20"/>
  <c r="F120" i="20"/>
  <c r="G119" i="20"/>
  <c r="F119" i="20"/>
  <c r="G118" i="20"/>
  <c r="F118" i="20"/>
  <c r="G117" i="20"/>
  <c r="F117" i="20"/>
  <c r="G116" i="20"/>
  <c r="F116" i="20"/>
  <c r="G115" i="20"/>
  <c r="F115" i="20"/>
  <c r="G114" i="20"/>
  <c r="F114" i="20"/>
  <c r="G113" i="20"/>
  <c r="F113" i="20"/>
  <c r="G112" i="20"/>
  <c r="F112" i="20"/>
  <c r="G111" i="20"/>
  <c r="F111" i="20"/>
  <c r="G110" i="20"/>
  <c r="F110" i="20"/>
  <c r="G109" i="20"/>
  <c r="F109" i="20"/>
  <c r="G108" i="20"/>
  <c r="F108" i="20"/>
  <c r="G107" i="20"/>
  <c r="F107" i="20"/>
  <c r="G106" i="20"/>
  <c r="F106" i="20"/>
  <c r="G105" i="20"/>
  <c r="F105" i="20"/>
  <c r="G104" i="20"/>
  <c r="F104" i="20"/>
  <c r="G103" i="20"/>
  <c r="F103" i="20"/>
  <c r="G102" i="20"/>
  <c r="F102" i="20"/>
  <c r="G101" i="20"/>
  <c r="F101" i="20"/>
  <c r="G100" i="20"/>
  <c r="F100" i="20"/>
  <c r="G99" i="20"/>
  <c r="F99" i="20"/>
  <c r="G98" i="20"/>
  <c r="F98" i="20"/>
  <c r="G97" i="20"/>
  <c r="F97" i="20"/>
  <c r="G96" i="20"/>
  <c r="F96" i="20"/>
  <c r="G95" i="20"/>
  <c r="F95" i="20"/>
  <c r="G94" i="20"/>
  <c r="F94" i="20"/>
  <c r="G93" i="20"/>
  <c r="F93" i="20"/>
  <c r="G92" i="20"/>
  <c r="F92" i="20"/>
  <c r="G91" i="20"/>
  <c r="F91" i="20"/>
  <c r="G90" i="20"/>
  <c r="F90" i="20"/>
  <c r="G89" i="20"/>
  <c r="F89" i="20"/>
  <c r="G88" i="20"/>
  <c r="F88" i="20"/>
  <c r="G87" i="20"/>
  <c r="F87" i="20"/>
  <c r="G86" i="20"/>
  <c r="F86" i="20"/>
  <c r="G85" i="20"/>
  <c r="F85" i="20"/>
  <c r="G84" i="20"/>
  <c r="F84" i="20"/>
  <c r="G83" i="20"/>
  <c r="F83" i="20"/>
  <c r="G82" i="20"/>
  <c r="F82" i="20"/>
  <c r="G81" i="20"/>
  <c r="F81" i="20"/>
  <c r="G80" i="20"/>
  <c r="F80" i="20"/>
  <c r="G79" i="20"/>
  <c r="F79" i="20"/>
  <c r="G78" i="20"/>
  <c r="F78" i="20"/>
  <c r="G77" i="20"/>
  <c r="F77" i="20"/>
  <c r="G76" i="20"/>
  <c r="F76" i="20"/>
  <c r="G75" i="20"/>
  <c r="F75" i="20"/>
  <c r="G74" i="20"/>
  <c r="F74" i="20"/>
  <c r="G73" i="20"/>
  <c r="F73" i="20"/>
  <c r="G72" i="20"/>
  <c r="F72" i="20"/>
  <c r="G71" i="20"/>
  <c r="F71" i="20"/>
  <c r="G70" i="20"/>
  <c r="F70" i="20"/>
  <c r="G69" i="20"/>
  <c r="F69" i="20"/>
  <c r="G68" i="20"/>
  <c r="F68" i="20"/>
  <c r="G67" i="20"/>
  <c r="F67" i="20"/>
  <c r="G66" i="20"/>
  <c r="F66" i="20"/>
  <c r="G65" i="20"/>
  <c r="F65" i="20"/>
  <c r="G64" i="20"/>
  <c r="F64" i="20"/>
  <c r="G63" i="20"/>
  <c r="F63" i="20"/>
  <c r="G62" i="20"/>
  <c r="F62" i="20"/>
  <c r="G61" i="20"/>
  <c r="F61" i="20"/>
  <c r="G60" i="20"/>
  <c r="F60" i="20"/>
  <c r="G59" i="20"/>
  <c r="F59" i="20"/>
  <c r="G58" i="20"/>
  <c r="F58" i="20"/>
  <c r="G57" i="20"/>
  <c r="F57" i="20"/>
  <c r="G56" i="20"/>
  <c r="F56" i="20"/>
  <c r="G55" i="20"/>
  <c r="F55" i="20"/>
  <c r="G54" i="20"/>
  <c r="F54" i="20"/>
  <c r="G53" i="20"/>
  <c r="F53" i="20"/>
  <c r="G52" i="20"/>
  <c r="F52" i="20"/>
  <c r="G51" i="20"/>
  <c r="F51" i="20"/>
  <c r="G50" i="20"/>
  <c r="F50" i="20"/>
  <c r="G49" i="20"/>
  <c r="F49" i="20"/>
  <c r="G48" i="20"/>
  <c r="F48" i="20"/>
  <c r="G47" i="20"/>
  <c r="F47" i="20"/>
  <c r="G46" i="20"/>
  <c r="F46" i="20"/>
  <c r="G45" i="20"/>
  <c r="F45" i="20"/>
  <c r="G44" i="20"/>
  <c r="F44" i="20"/>
  <c r="G43" i="20"/>
  <c r="F43" i="20"/>
  <c r="G42" i="20"/>
  <c r="F42" i="20"/>
  <c r="G41" i="20"/>
  <c r="F41" i="20"/>
  <c r="G40" i="20"/>
  <c r="F40" i="20"/>
  <c r="G39" i="20"/>
  <c r="F39" i="20"/>
  <c r="G38" i="20"/>
  <c r="F38" i="20"/>
  <c r="G37" i="20"/>
  <c r="F37" i="20"/>
  <c r="G36" i="20"/>
  <c r="F36" i="20"/>
  <c r="G35" i="20"/>
  <c r="F35" i="20"/>
  <c r="G34" i="20"/>
  <c r="F34" i="20"/>
  <c r="G33" i="20"/>
  <c r="F33" i="20"/>
  <c r="G32" i="20"/>
  <c r="F32" i="20"/>
  <c r="G31" i="20"/>
  <c r="F31" i="20"/>
  <c r="G30" i="20"/>
  <c r="F30" i="20"/>
  <c r="G29" i="20"/>
  <c r="F29" i="20"/>
  <c r="G28" i="20"/>
  <c r="F28" i="20"/>
  <c r="G27" i="20"/>
  <c r="F27" i="20"/>
  <c r="G26" i="20"/>
  <c r="F26" i="20"/>
  <c r="G25" i="20"/>
  <c r="F25" i="20"/>
  <c r="G24" i="20"/>
  <c r="F24" i="20"/>
  <c r="G23" i="20"/>
  <c r="F23" i="20"/>
  <c r="G22" i="20"/>
  <c r="F22" i="20"/>
  <c r="G21" i="20"/>
  <c r="F21" i="20"/>
  <c r="G20" i="20"/>
  <c r="F20" i="20"/>
  <c r="G19" i="20"/>
  <c r="F19" i="20"/>
  <c r="G18" i="20"/>
  <c r="F18" i="20"/>
  <c r="G17" i="20"/>
  <c r="F17" i="20"/>
  <c r="G16" i="20"/>
  <c r="F16" i="20"/>
  <c r="G15" i="20"/>
  <c r="F15" i="20"/>
  <c r="G14" i="20"/>
  <c r="F14" i="20"/>
  <c r="G13" i="20"/>
  <c r="F13" i="20"/>
  <c r="G12" i="20"/>
  <c r="F12" i="20"/>
  <c r="G11" i="20"/>
  <c r="F11" i="20"/>
  <c r="G10" i="20"/>
  <c r="F10" i="20"/>
  <c r="G9" i="20"/>
  <c r="F9" i="20"/>
  <c r="G8" i="20"/>
  <c r="F8" i="20"/>
  <c r="G7" i="20"/>
  <c r="F7" i="20"/>
  <c r="G6" i="20"/>
  <c r="F6" i="20"/>
  <c r="G5" i="20"/>
  <c r="F5" i="20"/>
  <c r="G4" i="20"/>
  <c r="F4" i="20"/>
  <c r="G3" i="20"/>
  <c r="F3" i="20"/>
  <c r="G2" i="20"/>
  <c r="F2" i="20"/>
  <c r="F32" i="18"/>
  <c r="E32" i="18"/>
  <c r="D32" i="18"/>
  <c r="F31" i="18"/>
  <c r="D31" i="18"/>
  <c r="E31" i="18" s="1"/>
  <c r="D30" i="18"/>
  <c r="F30" i="18" s="1"/>
  <c r="F29" i="18"/>
  <c r="D29" i="18"/>
  <c r="E29" i="18" s="1"/>
  <c r="D28" i="18"/>
  <c r="F28" i="18" s="1"/>
  <c r="E27" i="18"/>
  <c r="D27" i="18"/>
  <c r="F27" i="18" s="1"/>
  <c r="E26" i="18"/>
  <c r="D26" i="18"/>
  <c r="F26" i="18" s="1"/>
  <c r="E25" i="18"/>
  <c r="D25" i="18"/>
  <c r="F25" i="18" s="1"/>
  <c r="F24" i="18"/>
  <c r="E24" i="18"/>
  <c r="D24" i="18"/>
  <c r="F23" i="18"/>
  <c r="D23" i="18"/>
  <c r="E23" i="18" s="1"/>
  <c r="D22" i="18"/>
  <c r="F22" i="18" s="1"/>
  <c r="F21" i="18"/>
  <c r="D21" i="18"/>
  <c r="E21" i="18" s="1"/>
  <c r="D20" i="18"/>
  <c r="F20" i="18" s="1"/>
  <c r="E19" i="18"/>
  <c r="D19" i="18"/>
  <c r="F19" i="18" s="1"/>
  <c r="E18" i="18"/>
  <c r="D18" i="18"/>
  <c r="F18" i="18" s="1"/>
  <c r="E17" i="18"/>
  <c r="D17" i="18"/>
  <c r="F17" i="18" s="1"/>
  <c r="F16" i="18"/>
  <c r="E16" i="18"/>
  <c r="D16" i="18"/>
  <c r="F15" i="18"/>
  <c r="D15" i="18"/>
  <c r="E15" i="18" s="1"/>
  <c r="D14" i="18"/>
  <c r="F14" i="18" s="1"/>
  <c r="F13" i="18"/>
  <c r="D13" i="18"/>
  <c r="E13" i="18" s="1"/>
  <c r="D12" i="18"/>
  <c r="F12" i="18" s="1"/>
  <c r="E11" i="18"/>
  <c r="D11" i="18"/>
  <c r="F11" i="18" s="1"/>
  <c r="E10" i="18"/>
  <c r="D10" i="18"/>
  <c r="F10" i="18" s="1"/>
  <c r="E9" i="18"/>
  <c r="D9" i="18"/>
  <c r="F9" i="18" s="1"/>
  <c r="F8" i="18"/>
  <c r="E8" i="18"/>
  <c r="D8" i="18"/>
  <c r="F7" i="18"/>
  <c r="D7" i="18"/>
  <c r="E7" i="18" s="1"/>
  <c r="D6" i="18"/>
  <c r="F6" i="18" s="1"/>
  <c r="H24" i="16"/>
  <c r="I24" i="16" a="1"/>
  <c r="I24" i="16" s="1"/>
  <c r="H23" i="16"/>
  <c r="I23" i="16" a="1"/>
  <c r="I23" i="16" s="1"/>
  <c r="H22" i="16"/>
  <c r="F22" i="16"/>
  <c r="D22" i="16"/>
  <c r="C22" i="16"/>
  <c r="H21" i="16"/>
  <c r="I21" i="16" a="1"/>
  <c r="I21" i="16" s="1"/>
  <c r="H20" i="16"/>
  <c r="I20" i="16" a="1"/>
  <c r="I20" i="16" s="1"/>
  <c r="H19" i="16"/>
  <c r="G19" i="16"/>
  <c r="F19" i="16"/>
  <c r="D19" i="16"/>
  <c r="C19" i="16"/>
  <c r="H18" i="16"/>
  <c r="I18" i="16" a="1"/>
  <c r="I18" i="16" s="1"/>
  <c r="H17" i="16"/>
  <c r="I17" i="16" a="1"/>
  <c r="I17" i="16" s="1"/>
  <c r="H16" i="16"/>
  <c r="I16" i="16" a="1"/>
  <c r="I16" i="16" s="1"/>
  <c r="H15" i="16"/>
  <c r="I15" i="16" a="1"/>
  <c r="I15" i="16" s="1"/>
  <c r="H14" i="16"/>
  <c r="I14" i="16" a="1"/>
  <c r="I14" i="16" s="1"/>
  <c r="H13" i="16"/>
  <c r="I13" i="16" a="1"/>
  <c r="I13" i="16" s="1"/>
  <c r="D12" i="16"/>
  <c r="C12" i="16"/>
  <c r="I11" i="16" a="1"/>
  <c r="I11" i="16"/>
  <c r="H11" i="16"/>
  <c r="H10" i="16"/>
  <c r="H8" i="16"/>
  <c r="H9" i="16"/>
  <c r="I9" i="16" a="1"/>
  <c r="I9" i="16" s="1"/>
  <c r="F8" i="16"/>
  <c r="D8" i="16"/>
  <c r="C8" i="16"/>
  <c r="J4" i="16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G4" i="16" s="1"/>
  <c r="AH4" i="16" s="1"/>
  <c r="AI4" i="16" s="1"/>
  <c r="AJ4" i="16" s="1"/>
  <c r="AK4" i="16" s="1"/>
  <c r="AL4" i="16" s="1"/>
  <c r="AM4" i="16" s="1"/>
  <c r="AN4" i="16" s="1"/>
  <c r="AO4" i="16" s="1"/>
  <c r="AP4" i="16" s="1"/>
  <c r="AQ4" i="16" s="1"/>
  <c r="AR4" i="16" s="1"/>
  <c r="AS4" i="16" s="1"/>
  <c r="AT4" i="16" s="1"/>
  <c r="AU4" i="16" s="1"/>
  <c r="AV4" i="16" s="1"/>
  <c r="AW4" i="16" s="1"/>
  <c r="AX4" i="16" s="1"/>
  <c r="AY4" i="16" s="1"/>
  <c r="AZ4" i="16" s="1"/>
  <c r="BA4" i="16" s="1"/>
  <c r="BB4" i="16" s="1"/>
  <c r="BC4" i="16" s="1"/>
  <c r="BD4" i="16" s="1"/>
  <c r="BE4" i="16" s="1"/>
  <c r="BF4" i="16" s="1"/>
  <c r="BG4" i="16" s="1"/>
  <c r="BH4" i="16" s="1"/>
  <c r="BI4" i="16" s="1"/>
  <c r="D2" i="16"/>
  <c r="D3" i="16" s="1"/>
  <c r="F50" i="15"/>
  <c r="G50" i="15" s="1"/>
  <c r="E50" i="15"/>
  <c r="D50" i="15"/>
  <c r="C50" i="15"/>
  <c r="B50" i="15"/>
  <c r="B30" i="15" s="1"/>
  <c r="F49" i="15"/>
  <c r="G49" i="15" s="1"/>
  <c r="E49" i="15"/>
  <c r="D49" i="15"/>
  <c r="C49" i="15"/>
  <c r="B49" i="15"/>
  <c r="F48" i="15"/>
  <c r="G48" i="15" s="1"/>
  <c r="E48" i="15"/>
  <c r="D48" i="15"/>
  <c r="C48" i="15"/>
  <c r="B48" i="15"/>
  <c r="B28" i="15" s="1"/>
  <c r="F47" i="15"/>
  <c r="F51" i="15" s="1"/>
  <c r="E47" i="15"/>
  <c r="E51" i="15" s="1"/>
  <c r="D47" i="15"/>
  <c r="D51" i="15" s="1"/>
  <c r="C47" i="15"/>
  <c r="C51" i="15" s="1"/>
  <c r="B47" i="15"/>
  <c r="B51" i="15" s="1"/>
  <c r="B43" i="15"/>
  <c r="B42" i="15"/>
  <c r="B41" i="15"/>
  <c r="F30" i="15" s="1"/>
  <c r="B39" i="15"/>
  <c r="B36" i="15"/>
  <c r="B37" i="15" s="1"/>
  <c r="B35" i="15"/>
  <c r="C30" i="15"/>
  <c r="A30" i="15"/>
  <c r="F29" i="15"/>
  <c r="C29" i="15"/>
  <c r="B29" i="15"/>
  <c r="A29" i="15"/>
  <c r="C28" i="15"/>
  <c r="A28" i="15"/>
  <c r="F27" i="15"/>
  <c r="C27" i="15"/>
  <c r="B27" i="15"/>
  <c r="A27" i="15"/>
  <c r="G51" i="14"/>
  <c r="F51" i="14"/>
  <c r="C30" i="14" s="1"/>
  <c r="E51" i="14"/>
  <c r="D51" i="14"/>
  <c r="C51" i="14"/>
  <c r="B51" i="14"/>
  <c r="F50" i="14"/>
  <c r="G50" i="14" s="1"/>
  <c r="E50" i="14"/>
  <c r="D50" i="14"/>
  <c r="C50" i="14"/>
  <c r="B50" i="14"/>
  <c r="B29" i="14" s="1"/>
  <c r="F49" i="14"/>
  <c r="G49" i="14" s="1"/>
  <c r="E49" i="14"/>
  <c r="D49" i="14"/>
  <c r="C49" i="14"/>
  <c r="B49" i="14"/>
  <c r="F48" i="14"/>
  <c r="G48" i="14" s="1"/>
  <c r="G52" i="14" s="1"/>
  <c r="E48" i="14"/>
  <c r="E52" i="14" s="1"/>
  <c r="D48" i="14"/>
  <c r="D52" i="14" s="1"/>
  <c r="C48" i="14"/>
  <c r="C52" i="14" s="1"/>
  <c r="B48" i="14"/>
  <c r="B52" i="14" s="1"/>
  <c r="B44" i="14"/>
  <c r="B43" i="14"/>
  <c r="B42" i="14"/>
  <c r="B41" i="14"/>
  <c r="F31" i="14" s="1"/>
  <c r="B39" i="14"/>
  <c r="B36" i="14"/>
  <c r="B37" i="14" s="1"/>
  <c r="B35" i="14"/>
  <c r="F30" i="14"/>
  <c r="B30" i="14"/>
  <c r="A30" i="14"/>
  <c r="F29" i="14"/>
  <c r="C29" i="14"/>
  <c r="A29" i="14"/>
  <c r="B28" i="14"/>
  <c r="A28" i="14"/>
  <c r="F27" i="14"/>
  <c r="C27" i="14"/>
  <c r="A27" i="14"/>
  <c r="G163" i="12"/>
  <c r="F163" i="12"/>
  <c r="G162" i="12"/>
  <c r="F162" i="12"/>
  <c r="G161" i="12"/>
  <c r="F161" i="12"/>
  <c r="G160" i="12"/>
  <c r="F160" i="12"/>
  <c r="G159" i="12"/>
  <c r="F159" i="12"/>
  <c r="G158" i="12"/>
  <c r="F158" i="12"/>
  <c r="G157" i="12"/>
  <c r="F157" i="12"/>
  <c r="G156" i="12"/>
  <c r="F156" i="12"/>
  <c r="G155" i="12"/>
  <c r="F155" i="12"/>
  <c r="G154" i="12"/>
  <c r="F154" i="12"/>
  <c r="G153" i="12"/>
  <c r="F153" i="12"/>
  <c r="G152" i="12"/>
  <c r="F152" i="12"/>
  <c r="G151" i="12"/>
  <c r="F151" i="12"/>
  <c r="G150" i="12"/>
  <c r="F150" i="12"/>
  <c r="G149" i="12"/>
  <c r="F149" i="12"/>
  <c r="G148" i="12"/>
  <c r="F148" i="12"/>
  <c r="G147" i="12"/>
  <c r="F147" i="12"/>
  <c r="G146" i="12"/>
  <c r="F146" i="12"/>
  <c r="G145" i="12"/>
  <c r="F145" i="12"/>
  <c r="G144" i="12"/>
  <c r="F144" i="12"/>
  <c r="G143" i="12"/>
  <c r="F143" i="12"/>
  <c r="G142" i="12"/>
  <c r="F142" i="12"/>
  <c r="G141" i="12"/>
  <c r="F141" i="12"/>
  <c r="G140" i="12"/>
  <c r="F140" i="12"/>
  <c r="G139" i="12"/>
  <c r="F139" i="12"/>
  <c r="G138" i="12"/>
  <c r="F138" i="12"/>
  <c r="G137" i="12"/>
  <c r="F137" i="12"/>
  <c r="G136" i="12"/>
  <c r="F136" i="12"/>
  <c r="G135" i="12"/>
  <c r="F135" i="12"/>
  <c r="G134" i="12"/>
  <c r="F134" i="12"/>
  <c r="G133" i="12"/>
  <c r="F133" i="12"/>
  <c r="G132" i="12"/>
  <c r="F132" i="12"/>
  <c r="G131" i="12"/>
  <c r="F131" i="12"/>
  <c r="G130" i="12"/>
  <c r="F130" i="12"/>
  <c r="G129" i="12"/>
  <c r="F129" i="12"/>
  <c r="G128" i="12"/>
  <c r="F128" i="12"/>
  <c r="G127" i="12"/>
  <c r="F127" i="12"/>
  <c r="G126" i="12"/>
  <c r="F126" i="12"/>
  <c r="G125" i="12"/>
  <c r="F125" i="12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G2" i="12"/>
  <c r="F2" i="12"/>
  <c r="D23" i="11"/>
  <c r="C23" i="11"/>
  <c r="D19" i="11" s="1"/>
  <c r="I18" i="11"/>
  <c r="G18" i="11"/>
  <c r="H18" i="11" s="1"/>
  <c r="I17" i="11"/>
  <c r="G17" i="11"/>
  <c r="H17" i="11" s="1"/>
  <c r="I16" i="11"/>
  <c r="G16" i="11"/>
  <c r="H16" i="11" s="1"/>
  <c r="I15" i="11"/>
  <c r="G15" i="11"/>
  <c r="H15" i="11" s="1"/>
  <c r="I14" i="11"/>
  <c r="G14" i="11"/>
  <c r="H14" i="11" s="1"/>
  <c r="I13" i="11"/>
  <c r="I12" i="11" s="1"/>
  <c r="H13" i="11"/>
  <c r="G13" i="11"/>
  <c r="D12" i="11"/>
  <c r="D2" i="11" s="1"/>
  <c r="G1" i="11" s="1"/>
  <c r="C12" i="11"/>
  <c r="I11" i="11"/>
  <c r="G11" i="11"/>
  <c r="H11" i="11" s="1"/>
  <c r="I10" i="11"/>
  <c r="G10" i="11"/>
  <c r="H10" i="11" s="1"/>
  <c r="I9" i="11"/>
  <c r="I8" i="11" s="1"/>
  <c r="B2" i="11" s="1"/>
  <c r="G9" i="11"/>
  <c r="H9" i="11" s="1"/>
  <c r="D8" i="11"/>
  <c r="C8" i="11"/>
  <c r="M4" i="1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AM4" i="11" s="1"/>
  <c r="AN4" i="11" s="1"/>
  <c r="AO4" i="11" s="1"/>
  <c r="AP4" i="11" s="1"/>
  <c r="AQ4" i="11" s="1"/>
  <c r="AR4" i="11" s="1"/>
  <c r="AS4" i="11" s="1"/>
  <c r="AT4" i="11" s="1"/>
  <c r="AU4" i="11" s="1"/>
  <c r="AV4" i="11" s="1"/>
  <c r="AW4" i="11" s="1"/>
  <c r="AX4" i="11" s="1"/>
  <c r="AY4" i="11" s="1"/>
  <c r="AZ4" i="11" s="1"/>
  <c r="BA4" i="11" s="1"/>
  <c r="BB4" i="11" s="1"/>
  <c r="BC4" i="11" s="1"/>
  <c r="BD4" i="11" s="1"/>
  <c r="BE4" i="11" s="1"/>
  <c r="BF4" i="11" s="1"/>
  <c r="BG4" i="11" s="1"/>
  <c r="BH4" i="11" s="1"/>
  <c r="BI4" i="11" s="1"/>
  <c r="BJ4" i="11" s="1"/>
  <c r="K4" i="11"/>
  <c r="L4" i="11" s="1"/>
  <c r="D3" i="11"/>
  <c r="I24" i="10"/>
  <c r="G24" i="10"/>
  <c r="H24" i="10" s="1"/>
  <c r="J24" i="10" s="1" a="1"/>
  <c r="J24" i="10" s="1"/>
  <c r="I23" i="10"/>
  <c r="H23" i="10"/>
  <c r="G23" i="10"/>
  <c r="I22" i="10"/>
  <c r="G22" i="10"/>
  <c r="D22" i="10"/>
  <c r="C22" i="10"/>
  <c r="I21" i="10"/>
  <c r="H21" i="10"/>
  <c r="J21" i="10" s="1" a="1"/>
  <c r="J21" i="10" s="1"/>
  <c r="G21" i="10"/>
  <c r="I20" i="10"/>
  <c r="G20" i="10"/>
  <c r="I19" i="10"/>
  <c r="D19" i="10"/>
  <c r="C19" i="10"/>
  <c r="I18" i="10"/>
  <c r="G18" i="10"/>
  <c r="H18" i="10" s="1"/>
  <c r="I17" i="10"/>
  <c r="G17" i="10"/>
  <c r="H17" i="10" s="1"/>
  <c r="J17" i="10" s="1" a="1"/>
  <c r="J17" i="10" s="1"/>
  <c r="I16" i="10"/>
  <c r="G16" i="10"/>
  <c r="H16" i="10" s="1"/>
  <c r="I15" i="10"/>
  <c r="H15" i="10"/>
  <c r="J15" i="10" s="1" a="1"/>
  <c r="J15" i="10" s="1"/>
  <c r="G15" i="10"/>
  <c r="G12" i="10" s="1"/>
  <c r="I14" i="10"/>
  <c r="H14" i="10"/>
  <c r="J14" i="10" s="1" a="1"/>
  <c r="J14" i="10" s="1"/>
  <c r="G14" i="10"/>
  <c r="I13" i="10"/>
  <c r="H13" i="10"/>
  <c r="G13" i="10"/>
  <c r="D12" i="10"/>
  <c r="C12" i="10"/>
  <c r="I11" i="10"/>
  <c r="G11" i="10"/>
  <c r="H11" i="10" s="1"/>
  <c r="J11" i="10" s="1" a="1"/>
  <c r="J11" i="10" s="1"/>
  <c r="I10" i="10"/>
  <c r="I8" i="10" s="1"/>
  <c r="H10" i="10"/>
  <c r="G10" i="10"/>
  <c r="I9" i="10"/>
  <c r="G9" i="10"/>
  <c r="H9" i="10" s="1"/>
  <c r="J9" i="10" s="1" a="1"/>
  <c r="J9" i="10" s="1"/>
  <c r="G8" i="10"/>
  <c r="D8" i="10"/>
  <c r="C8" i="10"/>
  <c r="K4" i="10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AG4" i="10" s="1"/>
  <c r="AH4" i="10" s="1"/>
  <c r="AI4" i="10" s="1"/>
  <c r="AJ4" i="10" s="1"/>
  <c r="AK4" i="10" s="1"/>
  <c r="AL4" i="10" s="1"/>
  <c r="AM4" i="10" s="1"/>
  <c r="AN4" i="10" s="1"/>
  <c r="AO4" i="10" s="1"/>
  <c r="AP4" i="10" s="1"/>
  <c r="AQ4" i="10" s="1"/>
  <c r="AR4" i="10" s="1"/>
  <c r="AS4" i="10" s="1"/>
  <c r="AT4" i="10" s="1"/>
  <c r="AU4" i="10" s="1"/>
  <c r="AV4" i="10" s="1"/>
  <c r="AW4" i="10" s="1"/>
  <c r="AX4" i="10" s="1"/>
  <c r="AY4" i="10" s="1"/>
  <c r="AZ4" i="10" s="1"/>
  <c r="BA4" i="10" s="1"/>
  <c r="BB4" i="10" s="1"/>
  <c r="BC4" i="10" s="1"/>
  <c r="BD4" i="10" s="1"/>
  <c r="BE4" i="10" s="1"/>
  <c r="BF4" i="10" s="1"/>
  <c r="BG4" i="10" s="1"/>
  <c r="BH4" i="10" s="1"/>
  <c r="BI4" i="10" s="1"/>
  <c r="BJ4" i="10" s="1"/>
  <c r="D2" i="10"/>
  <c r="D3" i="10" s="1"/>
  <c r="H14" i="8"/>
  <c r="F14" i="8"/>
  <c r="G14" i="8" s="1"/>
  <c r="H13" i="8"/>
  <c r="G13" i="8"/>
  <c r="F13" i="8"/>
  <c r="H12" i="8"/>
  <c r="F12" i="8"/>
  <c r="G12" i="8" s="1"/>
  <c r="H10" i="8"/>
  <c r="F10" i="8"/>
  <c r="G10" i="8" s="1"/>
  <c r="H9" i="8"/>
  <c r="G9" i="8"/>
  <c r="F9" i="8"/>
  <c r="H8" i="8"/>
  <c r="G8" i="8"/>
  <c r="F8" i="8"/>
  <c r="G24" i="7"/>
  <c r="G23" i="7"/>
  <c r="G22" i="7"/>
  <c r="G21" i="7"/>
  <c r="G19" i="7"/>
  <c r="G18" i="7"/>
  <c r="G17" i="7"/>
  <c r="H16" i="7"/>
  <c r="H15" i="7"/>
  <c r="G14" i="7"/>
  <c r="G13" i="7"/>
  <c r="H12" i="7"/>
  <c r="G11" i="7"/>
  <c r="G10" i="7"/>
  <c r="G9" i="7"/>
  <c r="H8" i="7"/>
  <c r="H7" i="7" s="1"/>
  <c r="B1" i="7" s="1"/>
  <c r="BH4" i="7"/>
  <c r="BG4" i="7"/>
  <c r="BF4" i="7"/>
  <c r="BE4" i="7"/>
  <c r="BD4" i="7"/>
  <c r="BC4" i="7"/>
  <c r="BB4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G19" i="6"/>
  <c r="G18" i="6"/>
  <c r="G17" i="6"/>
  <c r="H16" i="6"/>
  <c r="H15" i="6"/>
  <c r="G14" i="6"/>
  <c r="G13" i="6"/>
  <c r="H12" i="6"/>
  <c r="G11" i="6"/>
  <c r="G10" i="6"/>
  <c r="G9" i="6"/>
  <c r="H8" i="6"/>
  <c r="H7" i="6"/>
  <c r="B1" i="6" s="1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G18" i="5"/>
  <c r="G17" i="5"/>
  <c r="G16" i="5"/>
  <c r="H15" i="5"/>
  <c r="H14" i="5" s="1"/>
  <c r="B1" i="5" s="1"/>
  <c r="G13" i="5"/>
  <c r="G12" i="5"/>
  <c r="H11" i="5"/>
  <c r="G10" i="5"/>
  <c r="G9" i="5"/>
  <c r="G8" i="5"/>
  <c r="H7" i="5"/>
  <c r="H6" i="5"/>
  <c r="G18" i="4"/>
  <c r="G17" i="4"/>
  <c r="G16" i="4"/>
  <c r="G13" i="4"/>
  <c r="G12" i="4"/>
  <c r="G10" i="4"/>
  <c r="G9" i="4"/>
  <c r="G8" i="4"/>
  <c r="H6" i="4"/>
  <c r="B1" i="4"/>
  <c r="G25" i="3"/>
  <c r="G24" i="3"/>
  <c r="G23" i="3"/>
  <c r="G21" i="3"/>
  <c r="G20" i="3"/>
  <c r="G19" i="3"/>
  <c r="G16" i="3"/>
  <c r="G15" i="3"/>
  <c r="G14" i="3"/>
  <c r="G13" i="3"/>
  <c r="G11" i="3"/>
  <c r="G10" i="3"/>
  <c r="G9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B2" i="3" a="1"/>
  <c r="B2" i="3" s="1"/>
  <c r="B3" i="3" s="1"/>
  <c r="B1" i="3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B2" i="2" a="1"/>
  <c r="B2" i="2" s="1"/>
  <c r="B1" i="2"/>
  <c r="G64" i="13"/>
  <c r="F64" i="13"/>
  <c r="H64" i="13" s="1"/>
  <c r="E64" i="13"/>
  <c r="D64" i="13"/>
  <c r="C64" i="13"/>
  <c r="G63" i="13"/>
  <c r="F63" i="13"/>
  <c r="E63" i="13"/>
  <c r="D63" i="13"/>
  <c r="H63" i="13" s="1"/>
  <c r="C63" i="13"/>
  <c r="G62" i="13"/>
  <c r="F62" i="13"/>
  <c r="E62" i="13"/>
  <c r="D62" i="13"/>
  <c r="C62" i="13"/>
  <c r="H62" i="13" s="1"/>
  <c r="G61" i="13"/>
  <c r="H61" i="13" s="1"/>
  <c r="F61" i="13"/>
  <c r="E61" i="13"/>
  <c r="D61" i="13"/>
  <c r="C61" i="13"/>
  <c r="G60" i="13"/>
  <c r="F60" i="13"/>
  <c r="E60" i="13"/>
  <c r="H60" i="13" s="1"/>
  <c r="D60" i="13"/>
  <c r="C60" i="13"/>
  <c r="G59" i="13"/>
  <c r="F59" i="13"/>
  <c r="E59" i="13"/>
  <c r="D59" i="13"/>
  <c r="C59" i="13"/>
  <c r="H59" i="13" s="1"/>
  <c r="G58" i="13"/>
  <c r="F58" i="13"/>
  <c r="E58" i="13"/>
  <c r="D58" i="13"/>
  <c r="C58" i="13"/>
  <c r="H58" i="13" s="1"/>
  <c r="G57" i="13"/>
  <c r="H57" i="13" s="1"/>
  <c r="F57" i="13"/>
  <c r="E57" i="13"/>
  <c r="D57" i="13"/>
  <c r="C57" i="13"/>
  <c r="G56" i="13"/>
  <c r="F56" i="13"/>
  <c r="E56" i="13"/>
  <c r="H56" i="13" s="1"/>
  <c r="D56" i="13"/>
  <c r="C56" i="13"/>
  <c r="G55" i="13"/>
  <c r="F55" i="13"/>
  <c r="E55" i="13"/>
  <c r="D55" i="13"/>
  <c r="C55" i="13"/>
  <c r="H55" i="13" s="1"/>
  <c r="G54" i="13"/>
  <c r="F54" i="13"/>
  <c r="E54" i="13"/>
  <c r="D54" i="13"/>
  <c r="C54" i="13"/>
  <c r="G53" i="13"/>
  <c r="F53" i="13"/>
  <c r="E53" i="13"/>
  <c r="H53" i="13" s="1"/>
  <c r="D53" i="13"/>
  <c r="C53" i="13"/>
  <c r="G52" i="13"/>
  <c r="F52" i="13"/>
  <c r="E52" i="13"/>
  <c r="D52" i="13"/>
  <c r="C52" i="13"/>
  <c r="H52" i="13" s="1"/>
  <c r="G51" i="13"/>
  <c r="F51" i="13"/>
  <c r="E51" i="13"/>
  <c r="D51" i="13"/>
  <c r="C51" i="13"/>
  <c r="H51" i="13" s="1"/>
  <c r="G50" i="13"/>
  <c r="F50" i="13"/>
  <c r="E50" i="13"/>
  <c r="D50" i="13"/>
  <c r="C50" i="13"/>
  <c r="G49" i="13"/>
  <c r="F49" i="13"/>
  <c r="E49" i="13"/>
  <c r="D49" i="13"/>
  <c r="H49" i="13" s="1"/>
  <c r="C49" i="13"/>
  <c r="G48" i="13"/>
  <c r="F48" i="13"/>
  <c r="E48" i="13"/>
  <c r="D48" i="13"/>
  <c r="C48" i="13"/>
  <c r="H48" i="13" s="1"/>
  <c r="H47" i="13"/>
  <c r="G47" i="13"/>
  <c r="F47" i="13"/>
  <c r="E47" i="13"/>
  <c r="D47" i="13"/>
  <c r="C47" i="13"/>
  <c r="G46" i="13"/>
  <c r="F46" i="13"/>
  <c r="E46" i="13"/>
  <c r="D46" i="13"/>
  <c r="C46" i="13"/>
  <c r="G45" i="13"/>
  <c r="F45" i="13"/>
  <c r="E45" i="13"/>
  <c r="D45" i="13"/>
  <c r="C45" i="13"/>
  <c r="H45" i="13" s="1"/>
  <c r="G44" i="13"/>
  <c r="F44" i="13"/>
  <c r="E44" i="13"/>
  <c r="D44" i="13"/>
  <c r="C44" i="13"/>
  <c r="H44" i="13" s="1"/>
  <c r="G43" i="13"/>
  <c r="H43" i="13" s="1"/>
  <c r="F43" i="13"/>
  <c r="E43" i="13"/>
  <c r="D43" i="13"/>
  <c r="C43" i="13"/>
  <c r="G42" i="13"/>
  <c r="F42" i="13"/>
  <c r="E42" i="13"/>
  <c r="D42" i="13"/>
  <c r="C42" i="13"/>
  <c r="G41" i="13"/>
  <c r="F41" i="13"/>
  <c r="E41" i="13"/>
  <c r="D41" i="13"/>
  <c r="D65" i="13" s="1"/>
  <c r="C41" i="13"/>
  <c r="H41" i="13" s="1"/>
  <c r="H40" i="13"/>
  <c r="G40" i="13"/>
  <c r="F40" i="13"/>
  <c r="E40" i="13"/>
  <c r="D40" i="13"/>
  <c r="C40" i="13"/>
  <c r="C65" i="13" s="1"/>
  <c r="G39" i="13"/>
  <c r="G65" i="13" s="1"/>
  <c r="F39" i="13"/>
  <c r="F65" i="13" s="1"/>
  <c r="E39" i="13"/>
  <c r="E65" i="13" s="1"/>
  <c r="D39" i="13"/>
  <c r="C39" i="13"/>
  <c r="V8" i="13"/>
  <c r="U8" i="13"/>
  <c r="T8" i="13"/>
  <c r="S8" i="13"/>
  <c r="R8" i="13"/>
  <c r="W8" i="13" s="1"/>
  <c r="V7" i="13"/>
  <c r="U7" i="13"/>
  <c r="T7" i="13"/>
  <c r="S7" i="13"/>
  <c r="R7" i="13"/>
  <c r="W7" i="13" s="1"/>
  <c r="V6" i="13"/>
  <c r="W6" i="13" s="1"/>
  <c r="U6" i="13"/>
  <c r="T6" i="13"/>
  <c r="S6" i="13"/>
  <c r="R6" i="13"/>
  <c r="V5" i="13"/>
  <c r="U5" i="13"/>
  <c r="T5" i="13"/>
  <c r="W5" i="13" s="1"/>
  <c r="S5" i="13"/>
  <c r="R5" i="13"/>
  <c r="V4" i="13"/>
  <c r="U4" i="13"/>
  <c r="T4" i="13"/>
  <c r="S4" i="13"/>
  <c r="R4" i="13"/>
  <c r="W4" i="13" s="1"/>
  <c r="G16" i="7" l="1"/>
  <c r="G15" i="7" s="1"/>
  <c r="G11" i="4"/>
  <c r="G8" i="6"/>
  <c r="G15" i="5"/>
  <c r="G14" i="5" s="1"/>
  <c r="G15" i="4"/>
  <c r="G14" i="4" s="1"/>
  <c r="G7" i="5"/>
  <c r="G8" i="7"/>
  <c r="B3" i="2"/>
  <c r="G16" i="6"/>
  <c r="G15" i="6" s="1"/>
  <c r="J16" i="10" a="1"/>
  <c r="J16" i="10" s="1"/>
  <c r="G11" i="5"/>
  <c r="G7" i="4"/>
  <c r="G12" i="6"/>
  <c r="G7" i="6" s="1"/>
  <c r="B2" i="6" s="1"/>
  <c r="B1" i="8"/>
  <c r="H12" i="11"/>
  <c r="J13" i="10" a="1"/>
  <c r="J13" i="10" s="1"/>
  <c r="H12" i="10"/>
  <c r="H54" i="13"/>
  <c r="H50" i="13"/>
  <c r="H20" i="10"/>
  <c r="G19" i="10"/>
  <c r="H46" i="13"/>
  <c r="G12" i="7"/>
  <c r="G7" i="7" s="1"/>
  <c r="B2" i="7" s="1"/>
  <c r="B2" i="8"/>
  <c r="H39" i="13"/>
  <c r="H65" i="13" s="1"/>
  <c r="H42" i="13"/>
  <c r="J10" i="10" a="1"/>
  <c r="J10" i="10" s="1"/>
  <c r="J18" i="10" a="1"/>
  <c r="J18" i="10" s="1"/>
  <c r="B38" i="14"/>
  <c r="B40" i="14"/>
  <c r="F28" i="14" s="1"/>
  <c r="B38" i="15"/>
  <c r="B40" i="15"/>
  <c r="F28" i="15" s="1"/>
  <c r="H22" i="10"/>
  <c r="J23" i="10" a="1"/>
  <c r="J23" i="10" s="1"/>
  <c r="H8" i="11"/>
  <c r="I12" i="10"/>
  <c r="B2" i="10" s="1"/>
  <c r="H8" i="10"/>
  <c r="C28" i="14"/>
  <c r="F12" i="16"/>
  <c r="F52" i="14"/>
  <c r="G47" i="15"/>
  <c r="G51" i="15" s="1"/>
  <c r="G12" i="16"/>
  <c r="C19" i="11"/>
  <c r="H12" i="16"/>
  <c r="B2" i="16" s="1"/>
  <c r="B27" i="14"/>
  <c r="G22" i="16"/>
  <c r="E6" i="18"/>
  <c r="E14" i="18"/>
  <c r="E22" i="18"/>
  <c r="E30" i="18"/>
  <c r="I10" i="16" a="1"/>
  <c r="I10" i="16" s="1"/>
  <c r="E12" i="18"/>
  <c r="E20" i="18"/>
  <c r="E28" i="18"/>
  <c r="G6" i="4" l="1"/>
  <c r="B2" i="4" s="1"/>
  <c r="B1" i="11"/>
  <c r="G6" i="5"/>
  <c r="B2" i="5" s="1"/>
  <c r="G8" i="16"/>
  <c r="B1" i="16" s="1"/>
  <c r="J20" i="10" a="1"/>
  <c r="J20" i="10" s="1"/>
  <c r="H19" i="10"/>
  <c r="B1" i="10" s="1"/>
</calcChain>
</file>

<file path=xl/sharedStrings.xml><?xml version="1.0" encoding="utf-8"?>
<sst xmlns="http://schemas.openxmlformats.org/spreadsheetml/2006/main" count="3923" uniqueCount="749">
  <si>
    <t>Baseline vs Current Scope (by change type)</t>
  </si>
  <si>
    <t>Module</t>
  </si>
  <si>
    <t>Baseline</t>
  </si>
  <si>
    <t>Added</t>
  </si>
  <si>
    <t>Split</t>
  </si>
  <si>
    <t>Moved</t>
  </si>
  <si>
    <t>Removed</t>
  </si>
  <si>
    <t>Total current</t>
  </si>
  <si>
    <t>ASM</t>
  </si>
  <si>
    <t>RCA</t>
  </si>
  <si>
    <t>UI Improvement</t>
  </si>
  <si>
    <t>Handover</t>
  </si>
  <si>
    <t>SAP</t>
  </si>
  <si>
    <t>Sprint by sprint breakdown</t>
  </si>
  <si>
    <t>SPRINT-BY-SPRINT BREAKDOWN</t>
  </si>
  <si>
    <t>Sprint</t>
  </si>
  <si>
    <t>Date Range</t>
  </si>
  <si>
    <t>UI IMP</t>
  </si>
  <si>
    <t>HANDOVER</t>
  </si>
  <si>
    <t>Total</t>
  </si>
  <si>
    <t>Sprint 18</t>
  </si>
  <si>
    <t>05 Jan 2026</t>
  </si>
  <si>
    <t>Sprint 19</t>
  </si>
  <si>
    <t>12 Jan 2026</t>
  </si>
  <si>
    <t>Sprint 20</t>
  </si>
  <si>
    <t>26 Jan 2026</t>
  </si>
  <si>
    <t>Sprint 21</t>
  </si>
  <si>
    <t>09 Feb 2026</t>
  </si>
  <si>
    <t>Sprint 22</t>
  </si>
  <si>
    <t>23 Feb 2026</t>
  </si>
  <si>
    <t>Sprint 23</t>
  </si>
  <si>
    <t>09 Mar 2026</t>
  </si>
  <si>
    <t>Sprint 24</t>
  </si>
  <si>
    <t>23 Mar 2026</t>
  </si>
  <si>
    <t>Sprint 25</t>
  </si>
  <si>
    <t>06 Apr 2026</t>
  </si>
  <si>
    <t>Sprint 26</t>
  </si>
  <si>
    <t>20 Apr 2026</t>
  </si>
  <si>
    <t>Sprint 27</t>
  </si>
  <si>
    <t>04 May 2026</t>
  </si>
  <si>
    <t>Sprint 28</t>
  </si>
  <si>
    <t>18 May 2026</t>
  </si>
  <si>
    <t>Sprint 29</t>
  </si>
  <si>
    <t>01 Jun 2026</t>
  </si>
  <si>
    <t>Sprint 30</t>
  </si>
  <si>
    <t>15 Jun 2026</t>
  </si>
  <si>
    <t>Sprint 31</t>
  </si>
  <si>
    <t>29 Jun 2026</t>
  </si>
  <si>
    <t>Sprint 32</t>
  </si>
  <si>
    <t>13 Jul 2026</t>
  </si>
  <si>
    <t>Sprint 33</t>
  </si>
  <si>
    <t>27 Jul 2026</t>
  </si>
  <si>
    <t>Sprint 34</t>
  </si>
  <si>
    <t>10 Aug 2026</t>
  </si>
  <si>
    <t>Sprint 35</t>
  </si>
  <si>
    <t>24 Aug 2026</t>
  </si>
  <si>
    <t>Sprint 36</t>
  </si>
  <si>
    <t>07 Sep 2026</t>
  </si>
  <si>
    <t>Sprint 37</t>
  </si>
  <si>
    <t>21 Sep 2026</t>
  </si>
  <si>
    <t>Sprint 38</t>
  </si>
  <si>
    <t>05 Oct 2026</t>
  </si>
  <si>
    <t>Sprint 39</t>
  </si>
  <si>
    <t>19 Oct 2026</t>
  </si>
  <si>
    <t>Sprint 40</t>
  </si>
  <si>
    <t>02 Nov 2026</t>
  </si>
  <si>
    <t>Sprint 41</t>
  </si>
  <si>
    <t>16 Nov 2026</t>
  </si>
  <si>
    <t>Sprint 42</t>
  </si>
  <si>
    <t>30 Nov 2026</t>
  </si>
  <si>
    <t>Sprint 43</t>
  </si>
  <si>
    <t>14 Dec 2026</t>
  </si>
  <si>
    <t>TOTAL</t>
  </si>
  <si>
    <t>COLOR LEGEND:</t>
  </si>
  <si>
    <t>Baseline VS Activity</t>
  </si>
  <si>
    <t>Activity</t>
  </si>
  <si>
    <t>Actual</t>
  </si>
  <si>
    <t>Year 2026</t>
  </si>
  <si>
    <t>Plan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</si>
  <si>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</si>
  <si>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</si>
  <si>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</si>
  <si>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</si>
  <si>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</si>
  <si>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</si>
  <si>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</si>
  <si>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</si>
  <si>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</si>
  <si>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</si>
  <si>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</si>
  <si>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</si>
  <si>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Varience</t>
  </si>
  <si>
    <t>module</t>
  </si>
  <si>
    <t>feature</t>
  </si>
  <si>
    <t>story id</t>
  </si>
  <si>
    <t>start</t>
  </si>
  <si>
    <t>end</t>
  </si>
  <si>
    <t>sprint no.</t>
  </si>
  <si>
    <t>% plan</t>
  </si>
  <si>
    <t>% actual</t>
  </si>
  <si>
    <t>MVP1</t>
  </si>
  <si>
    <t>User Authentication</t>
  </si>
  <si>
    <t>S1: Login/Signup</t>
  </si>
  <si>
    <t>Sprint 1</t>
  </si>
  <si>
    <t>S2: Profile Management</t>
  </si>
  <si>
    <t>Sprint 2</t>
  </si>
  <si>
    <t>Task Management</t>
  </si>
  <si>
    <t>S1: Create/Edit Tasks</t>
  </si>
  <si>
    <t>Sprint 3</t>
  </si>
  <si>
    <t>S2: Priority Labeling</t>
  </si>
  <si>
    <t>Sprint 4</t>
  </si>
  <si>
    <t>S3: Due Date Reminders</t>
  </si>
  <si>
    <t>Sprint 5</t>
  </si>
  <si>
    <t>S4: Task Archiving</t>
  </si>
  <si>
    <t>Sprint 6</t>
  </si>
  <si>
    <t>MVP2</t>
  </si>
  <si>
    <t>Calendar Integration</t>
  </si>
  <si>
    <t>S1: Sync Google/Outlook</t>
  </si>
  <si>
    <t>Sprint 7</t>
  </si>
  <si>
    <t>S2: Drag-and-Drop Scheduling</t>
  </si>
  <si>
    <t>Sprint 8</t>
  </si>
  <si>
    <t>S3: Conflict Detection</t>
  </si>
  <si>
    <t>Sprint 9</t>
  </si>
  <si>
    <t>Progress Tracking</t>
  </si>
  <si>
    <t>S1: Daily Progress Dashboard</t>
  </si>
  <si>
    <t>Sprint 10</t>
  </si>
  <si>
    <t>S2: Weekly Productivity Reports</t>
  </si>
  <si>
    <t>Sprint 11</t>
  </si>
  <si>
    <t>S3: Streak/Gamification</t>
  </si>
  <si>
    <t>Sprint 12</t>
  </si>
  <si>
    <t>Ph3</t>
  </si>
  <si>
    <t>Collaboration</t>
  </si>
  <si>
    <t>S1: Shared Task Lists</t>
  </si>
  <si>
    <t>Sprint 13</t>
  </si>
  <si>
    <t>S2: Team Comments/Mentions</t>
  </si>
  <si>
    <t>Sprint 14</t>
  </si>
  <si>
    <t>S3: Role-based Permissions</t>
  </si>
  <si>
    <t>Sprint 15</t>
  </si>
  <si>
    <t>Advanced Tools</t>
  </si>
  <si>
    <t>S1: Pomodoro Timer</t>
  </si>
  <si>
    <t>Sprint 16</t>
  </si>
  <si>
    <t>S2: Focus Mode</t>
  </si>
  <si>
    <t>Sprint 17</t>
  </si>
  <si>
    <t>QA/Go-Live</t>
  </si>
  <si>
    <t>Final Stabilization</t>
  </si>
  <si>
    <t>S1: UAT &amp; Bug Fixing</t>
  </si>
  <si>
    <t>S2: Performance Tuning</t>
  </si>
  <si>
    <t>S3: Deployment &amp; Go-Live</t>
  </si>
  <si>
    <t>Post-Launch</t>
  </si>
  <si>
    <t>S1: Maintenance &amp; Feedback</t>
  </si>
  <si>
    <t>Sprint 23-25</t>
  </si>
  <si>
    <t>Project Actual:</t>
  </si>
  <si>
    <t>Project Plan:</t>
  </si>
  <si>
    <t>Module / Feature</t>
  </si>
  <si>
    <t>Task / Story ID</t>
  </si>
  <si>
    <t>Start</t>
  </si>
  <si>
    <t>End</t>
  </si>
  <si>
    <t>Health</t>
  </si>
  <si>
    <t>% Plan</t>
  </si>
  <si>
    <t>% Actual</t>
  </si>
  <si>
    <t>MVP1: ASM</t>
  </si>
  <si>
    <t>Ongoing</t>
  </si>
  <si>
    <t>Green</t>
  </si>
  <si>
    <t>CMMS</t>
  </si>
  <si>
    <t>S2: Home Page</t>
  </si>
  <si>
    <t>S3: Profile Management</t>
  </si>
  <si>
    <t>AI</t>
  </si>
  <si>
    <t>MVP2: RCA</t>
  </si>
  <si>
    <t>Upcoming</t>
  </si>
  <si>
    <t>Case creation - Create/Edit Analysis</t>
  </si>
  <si>
    <t>S2: Drag-and-Drop</t>
  </si>
  <si>
    <t>Project start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</si>
  <si>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</si>
  <si>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</si>
  <si>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</si>
  <si>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</si>
  <si>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</si>
  <si>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</si>
  <si>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</si>
  <si>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</si>
  <si>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</si>
  <si>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</si>
  <si>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</si>
  <si>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</si>
  <si>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</si>
  <si>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</si>
  <si>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</si>
  <si>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</si>
  <si>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</si>
  <si>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</si>
  <si>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</si>
  <si>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</si>
  <si>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</si>
  <si>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</si>
  <si>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</si>
  <si>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</si>
  <si>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</si>
  <si>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</si>
  <si>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Category</t>
  </si>
  <si>
    <t>[Improvement][ASM][AssetStrategy] Table List - Searching and Sorting field Unmitigated Matrix, Mitigated Matrix</t>
  </si>
  <si>
    <t>[ASM][AssetStrategy][Revisions] Revision Details - Strategy Summary - Tab Summary</t>
  </si>
  <si>
    <t>[ASM][AssetStrategy][Revisions] Revision Details - Strategy Summary - Tab Details</t>
  </si>
  <si>
    <t>Additional Requirement</t>
  </si>
  <si>
    <t>Project start:</t>
  </si>
  <si>
    <t>Project end: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</si>
  <si>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</si>
  <si>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</si>
  <si>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</si>
  <si>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</si>
  <si>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</si>
  <si>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</si>
  <si>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</si>
  <si>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</si>
  <si>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</si>
  <si>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</si>
  <si>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</si>
  <si>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</si>
  <si>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</si>
  <si>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</si>
  <si>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</si>
  <si>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</si>
  <si>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</si>
  <si>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</si>
  <si>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</si>
  <si>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</si>
  <si>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</si>
  <si>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</si>
  <si>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</si>
  <si>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</si>
  <si>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</si>
  <si>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</si>
  <si>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</si>
  <si>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</si>
  <si>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</si>
  <si>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</si>
  <si>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</si>
  <si>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</si>
  <si>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</si>
  <si>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</si>
  <si>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</si>
  <si>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</si>
  <si>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</si>
  <si>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</si>
  <si>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</si>
  <si>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</si>
  <si>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</si>
  <si>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</si>
  <si>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</si>
  <si>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</si>
  <si>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</si>
  <si>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</si>
  <si>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</si>
  <si>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</si>
  <si>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</si>
  <si>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</si>
  <si>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</si>
  <si>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</si>
  <si>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Feature</t>
  </si>
  <si>
    <t>Working Day</t>
  </si>
  <si>
    <t>status</t>
  </si>
  <si>
    <t>sp44</t>
  </si>
  <si>
    <t>feature a</t>
  </si>
  <si>
    <t>18-19</t>
  </si>
  <si>
    <t>completed</t>
  </si>
  <si>
    <t>feature b</t>
  </si>
  <si>
    <t>20-21</t>
  </si>
  <si>
    <t>feature c</t>
  </si>
  <si>
    <t>feature d</t>
  </si>
  <si>
    <t>21-23</t>
  </si>
  <si>
    <t>23-25</t>
  </si>
  <si>
    <t>feature e</t>
  </si>
  <si>
    <t>25-26</t>
  </si>
  <si>
    <t>in progress</t>
  </si>
  <si>
    <t>Feature Name</t>
  </si>
  <si>
    <t>User Story ID</t>
  </si>
  <si>
    <t>Status (1=Done, 0=Progress)</t>
  </si>
  <si>
    <t>feature A</t>
  </si>
  <si>
    <t>us1</t>
  </si>
  <si>
    <t>us2</t>
  </si>
  <si>
    <t>us3</t>
  </si>
  <si>
    <t>feature B</t>
  </si>
  <si>
    <t>feature C</t>
  </si>
  <si>
    <t>feature D</t>
  </si>
  <si>
    <t>feature E</t>
  </si>
  <si>
    <t>Baseline:</t>
  </si>
  <si>
    <t>% Weight</t>
  </si>
  <si>
    <t>MVP1: ASM+AI</t>
  </si>
  <si>
    <t> </t>
  </si>
  <si>
    <t>Revision</t>
  </si>
  <si>
    <t>20-27</t>
  </si>
  <si>
    <t>Case Creation - Create/Edit Analysis</t>
  </si>
  <si>
    <t>27-31</t>
  </si>
  <si>
    <t>Case Approval</t>
  </si>
  <si>
    <t>31-32</t>
  </si>
  <si>
    <t>Report</t>
  </si>
  <si>
    <t>32-33</t>
  </si>
  <si>
    <t>RCA Dashboard.</t>
  </si>
  <si>
    <t>33-34</t>
  </si>
  <si>
    <t>User Management</t>
  </si>
  <si>
    <t>34-35</t>
  </si>
  <si>
    <t>Noti Email</t>
  </si>
  <si>
    <t>Requirement &amp; Design</t>
  </si>
  <si>
    <t>36-37</t>
  </si>
  <si>
    <t>Implementation, Testing, and Deploy</t>
  </si>
  <si>
    <t>38-41</t>
  </si>
  <si>
    <t>Document</t>
  </si>
  <si>
    <t>Knowledge Transfer</t>
  </si>
  <si>
    <t>Assumption:</t>
  </si>
  <si>
    <t>1) the project plan based on the requirement baseline sheet "baseline"</t>
  </si>
  <si>
    <t>2) additional improvement and scope can be discussed in terms of trade-off OR additional requirement</t>
  </si>
  <si>
    <t>3) the actual % is weighted by working days, excluding holidays</t>
  </si>
  <si>
    <t>total user story:</t>
  </si>
  <si>
    <t>Analysis</t>
  </si>
  <si>
    <t>Estimation</t>
  </si>
  <si>
    <t>Implementation</t>
  </si>
  <si>
    <t>Documentation</t>
  </si>
  <si>
    <t xml:space="preserve">Knowledge transfer </t>
  </si>
  <si>
    <t>User Story Description</t>
  </si>
  <si>
    <t>Is Baseline</t>
  </si>
  <si>
    <t>Change Type</t>
  </si>
  <si>
    <t>Note</t>
  </si>
  <si>
    <t>Module | Feature | Sprint</t>
  </si>
  <si>
    <t>Baseline vs change record</t>
  </si>
  <si>
    <t>asm</t>
  </si>
  <si>
    <t>revision</t>
  </si>
  <si>
    <t>EAPM-906</t>
  </si>
  <si>
    <t>[Improvement][Home][GeneralDetails] My Tasks - Add checked Group Permission for Waiting for Approval Box.</t>
  </si>
  <si>
    <t>baseline</t>
  </si>
  <si>
    <t>email noti</t>
  </si>
  <si>
    <t>Count of User Story Description</t>
  </si>
  <si>
    <t>Count of Is Baseline</t>
  </si>
  <si>
    <t>EAPM-278</t>
  </si>
  <si>
    <t>[ASM][AssetStrategy] Email Notification Message - Template 2 (Review)</t>
  </si>
  <si>
    <t>EAPM-923</t>
  </si>
  <si>
    <t>[Improvement][ASM][AssetStrategy][RisksAndTasks] Risk Details - Add Description for Failure Impact + Change Field Name</t>
  </si>
  <si>
    <t>handover</t>
  </si>
  <si>
    <t>EAPM-244</t>
  </si>
  <si>
    <t>[Improvement][ASM][AssetStrategy] Strategies Table List V3. - Add column</t>
  </si>
  <si>
    <t>rca</t>
  </si>
  <si>
    <t>EAPM-922</t>
  </si>
  <si>
    <t>[ASM][AssetStrategy] Integrate FDP (GCP) - [BE]</t>
  </si>
  <si>
    <t>integration</t>
  </si>
  <si>
    <t>cmms</t>
  </si>
  <si>
    <t>ui improvement</t>
  </si>
  <si>
    <t>EAPM-919</t>
  </si>
  <si>
    <t>[Improvement][ASM][AssetStrategy][RisksAndTasks] Risk/Task Panel - Change Icon Yellow Alert to Arrow Icon + Abbreviate Interval + SCE Tag</t>
  </si>
  <si>
    <t>Grand Total</t>
  </si>
  <si>
    <t>EAPM-882</t>
  </si>
  <si>
    <t>[ASM] Apply a consistent design standard to all action buttons. [FE]</t>
  </si>
  <si>
    <t>ai</t>
  </si>
  <si>
    <t>EAPM-1071</t>
  </si>
  <si>
    <t>[Improvement][ASM][AssetStrategy] All Table List - Change Design the shown numbers as total, select items, filter results</t>
  </si>
  <si>
    <t>EAPM-10</t>
  </si>
  <si>
    <t>EAPM-11</t>
  </si>
  <si>
    <t>EAPM-7</t>
  </si>
  <si>
    <t>[ASM][AssetStrategy][Revisions] Revision Details - Risks and Tasks</t>
  </si>
  <si>
    <t>EAPM-25</t>
  </si>
  <si>
    <t>[ASM][AssetStrategy][Revisions] Revision Details - Risks Details</t>
  </si>
  <si>
    <t>EAPM-26</t>
  </si>
  <si>
    <t>[ASM][AssetStrategy][Revisions] Revision Details - Task Details</t>
  </si>
  <si>
    <t>EAPM-8</t>
  </si>
  <si>
    <t>[ASM][AssetStrategy][Revisions] Revision Details - Risk Analysis</t>
  </si>
  <si>
    <t>EAPM-9</t>
  </si>
  <si>
    <t>[ASM][AssetStrategy][Revisions] Revision Details - Maintenance Plans</t>
  </si>
  <si>
    <t>EAPM-1255</t>
  </si>
  <si>
    <t>[ASM][AssetStrategy] Trigger an update for all data retrieved from GCP. (Location, FDP, Maintenance Plan, ...)</t>
  </si>
  <si>
    <t>EAPM-1302</t>
  </si>
  <si>
    <t>[Improvement][Home][GeneralDetails] My Task - Apply standard design for table list</t>
  </si>
  <si>
    <t>EAPM-1303</t>
  </si>
  <si>
    <t>[Improvement][Admin] User Management - Apply standard design for table list</t>
  </si>
  <si>
    <t>EAPM-1304</t>
  </si>
  <si>
    <t>[Improvement][ASM][AssetStrategy][MaintenancePlan] Maintenance Plan table list - Apply standard design for table list</t>
  </si>
  <si>
    <t>EAPM-1392</t>
  </si>
  <si>
    <t>[Improvement][ASM][AssetStrategy] Strategy Table list - Apply standard design for table list</t>
  </si>
  <si>
    <t>case approval</t>
  </si>
  <si>
    <t>EAPM-1393</t>
  </si>
  <si>
    <t>[Improvement][ASM][AssetStrategy][Revision] Revision Table list - Apply standard design for table list</t>
  </si>
  <si>
    <t>EAPM-1394</t>
  </si>
  <si>
    <t>[Improvement][ASM][AssetStrategy][Overview] Risk Matrix by Active Strategy Table list - Apply standard design for table list</t>
  </si>
  <si>
    <t>EAPM-1150</t>
  </si>
  <si>
    <t>EAPM-349</t>
  </si>
  <si>
    <t>[Improvement][ASM][AssetStrategy] Excel Template File V4. #1</t>
  </si>
  <si>
    <t>EAPM-1309</t>
  </si>
  <si>
    <t>[Improvement][ASM][AssetStrategy] Excel Template File V4. #2</t>
  </si>
  <si>
    <t>EAPM-2000</t>
  </si>
  <si>
    <t>[Improvement][ASM][AssetStrategy][MaintenancePlans] Table List - Add dropdown "Work Center"</t>
  </si>
  <si>
    <t>EAPM-1999</t>
  </si>
  <si>
    <t>[Improvement][ASM][AssetStrategy][RisksAndTasks] Task Details V3.</t>
  </si>
  <si>
    <t>EAPM-1585</t>
  </si>
  <si>
    <t>[Improvement][FE][ASM][RisksAndTasks] Risk Property - Add more suggestion to 3M, 6M, 12M, 18M, 24M</t>
  </si>
  <si>
    <t>EAPM-1883</t>
  </si>
  <si>
    <t>[Improvement][ASM][RisksAndTasks] - Risk Detail / Task Detail - Add more suggestion</t>
  </si>
  <si>
    <t>EAPM-2003</t>
  </si>
  <si>
    <t>[Improvement][ASM][AssetStrategy][RisksAndTasks] Risk Details - Change Logic</t>
  </si>
  <si>
    <t>EAPM-2006</t>
  </si>
  <si>
    <t>[Improvement][ASM][AssetStrategy][RisksAndTasks] Task Details - Set default ROI to "-1"</t>
  </si>
  <si>
    <t>EAPM-2004</t>
  </si>
  <si>
    <t>[Improvement][ASM][AssetStrategy][SummaryDetails] Change default "Plant Length =20"</t>
  </si>
  <si>
    <t>EAPM-1314</t>
  </si>
  <si>
    <t>[ASM][AssetStrategy][MaintenancePlans] Integrate SAP - Mock Test JSON</t>
  </si>
  <si>
    <t>EAPM-599</t>
  </si>
  <si>
    <t>[ASM][AssetStrategy][MaintenancePlans] Table List - Submit Change Request Flow</t>
  </si>
  <si>
    <t>EAPM-1305</t>
  </si>
  <si>
    <t>[ASM][AssetStrategy][MaintenancePlans] Submit Change Request - Summary Action</t>
  </si>
  <si>
    <t>EAPM-1799</t>
  </si>
  <si>
    <t>[ASM][AssetStrategy][MaintenancePlans] Submit Change Request - Summary Action - Export Excel</t>
  </si>
  <si>
    <t>EAPM-2423</t>
  </si>
  <si>
    <t>[ASM][AssetStrategy][MaintenancePlans] Integrate SAP - Mock Test JSON #2</t>
  </si>
  <si>
    <t>EAPM-2487</t>
  </si>
  <si>
    <t>[Improvement][ASM][AssetStrategy][MaintenancePlan] Converted interval value K = 000H</t>
  </si>
  <si>
    <t>EAPM-33</t>
  </si>
  <si>
    <t>[ASM][AssetStrategy][MaintenancePlans] Submit Change Request Form - CMMS Change Request Form (RequestInfo) #1</t>
  </si>
  <si>
    <t>EAPM-1306</t>
  </si>
  <si>
    <t>[ASM][AssetStrategy][MaintenancePlans] Submit Change Request Form - CMMS Change Request Form (MaintenancePlanItem) #1</t>
  </si>
  <si>
    <t>(blank)</t>
  </si>
  <si>
    <t>EAPM-1801</t>
  </si>
  <si>
    <t>[ASM][AssetStrategy][MaintenancePlans] Submit Change Request Form - CMMS Change Request Form (MaintenancePlanItem) #2</t>
  </si>
  <si>
    <t>EAPM-1955</t>
  </si>
  <si>
    <t>[ASM][AssetStrategy][MaintenancePlans] Submit Change Request Form - CMMS Change Request Form (MaintenancePlanItem) #3</t>
  </si>
  <si>
    <t>EAPM-1307</t>
  </si>
  <si>
    <t>[ASM][AssetStrategy][MaintenancePlans] Submit Change Request Form - CMMS Change Request Form (MaintenancePlanItem) - Add/Duplicate/Delete row</t>
  </si>
  <si>
    <t>EAPM-2486</t>
  </si>
  <si>
    <t>[Improvement][ASM][AssetStrategy][RisksAndTasks] Scale Bar - Icon U / M</t>
  </si>
  <si>
    <t>EAPM-1308</t>
  </si>
  <si>
    <t>[ASM][AssetStrategy][MaintenancePlans] Submit Change Request Form - CMMS Change Request Form (ObjectList) + Add/Duplicate/Delete row</t>
  </si>
  <si>
    <t>EAPM-1310</t>
  </si>
  <si>
    <t>[ASM][AssetStrategy][MaintenancePlans] Submit Change Request Form - CMMS Change Request Form (TaskListHeader) #1</t>
  </si>
  <si>
    <t>EAPM-1844</t>
  </si>
  <si>
    <t>[ASM][AssetStrategy][MaintenancePlans] Submit Change Request Form - CMMS Change Request Form (TaskListHeader) #2</t>
  </si>
  <si>
    <t>EAPM-1311</t>
  </si>
  <si>
    <t>[ASM][AssetStrategy][MaintenancePlans] Submit Change Request Form - CMMS Change Request Form (TaskListHeader) - Add/Duplicate/Delete row</t>
  </si>
  <si>
    <t>EAPM-1312</t>
  </si>
  <si>
    <t>[ASM][AssetStrategy][MaintenancePlans] Submit Change Request Form - CMMS Change Request Form (TaskListOperation) #1</t>
  </si>
  <si>
    <t>EAPM-1845</t>
  </si>
  <si>
    <t>[ASM][AssetStrategy][MaintenancePlans] Submit Change Request Form - CMMS Change Request Form (TaskListOperation) #2</t>
  </si>
  <si>
    <t>EAPM-1313</t>
  </si>
  <si>
    <t>[ASM][AssetStrategy][MaintenancePlans] Submit Change Request Form - CMMS Change Request Form (TaskListOperation) - Add/Duplicate/Delete row</t>
  </si>
  <si>
    <t>EAPM-2745</t>
  </si>
  <si>
    <t>[ASM][AssetStrategy][MaintenancePlans] Submit Change Request - CMMS Form(PreFilled) - MaintenancePlanItem - Case: Add New Sub</t>
  </si>
  <si>
    <t>EAPM-2779</t>
  </si>
  <si>
    <t>[ASM][AssetStrategy][MaintenancePlans] Submit Change Request Form - CMMS Change Request Form (TaskListHeader) - Add New Sub</t>
  </si>
  <si>
    <t>EAPM-2780</t>
  </si>
  <si>
    <t>[ASM][AssetStrategy][MaintenancePlans] Submit Change Request Form - CMMS Change Request Form (TaskListOperation) - Add New Sub</t>
  </si>
  <si>
    <t>EAPM-2759</t>
  </si>
  <si>
    <t>[ASM][AssetStrategy][MaintenancePlans] Table List - Add logic to "Request Sub."</t>
  </si>
  <si>
    <t>EAPM-1318</t>
  </si>
  <si>
    <t>[ASM][AssetStrategy][MaintenancePlans] Submit Change Request Form - CMMS Change Request Form (AttachJobCard)</t>
  </si>
  <si>
    <t>EAPM-32</t>
  </si>
  <si>
    <t>[ASM][AssetStrategy][MaintenancePlans] Submit Change Request Form - Strategy Preview - Initial + Before</t>
  </si>
  <si>
    <t>EAPM-1803</t>
  </si>
  <si>
    <t>[ASM][AssetStrategy][MaintenancePlans] Submit Change Request Form - Strategy Preview - After</t>
  </si>
  <si>
    <t>EAPM-2488</t>
  </si>
  <si>
    <t>[ASM][AssetStrategy][MaintenancePlans] Submit Change Request Form - Strategy Preview - Related Strategy</t>
  </si>
  <si>
    <t>EAPM-2672</t>
  </si>
  <si>
    <t>[ASM][AssetStrategy][MaintenancePlans] Submit Change Request Form - Strategy Preview - Calculate Summary Interval</t>
  </si>
  <si>
    <t>EAPM-2945</t>
  </si>
  <si>
    <t>[FE][POC][ASM][AssetStrategy][MaintenancePlan] POC CMMS Final Form - UI Screen + Export Excel</t>
  </si>
  <si>
    <t>EAPM-2946</t>
  </si>
  <si>
    <t>[FE][Improvement][ASM][AssetStrategy][MaintenancePlans] Table List - Add logic to "Work Center" field</t>
  </si>
  <si>
    <t>EAPM-2007</t>
  </si>
  <si>
    <t>[ASM][AssetStrategy][MaintenancePlan] CMMS Form Final  - tap Finalized - Initial + Request Info</t>
  </si>
  <si>
    <t>EAPM-2933</t>
  </si>
  <si>
    <t>[ASM][AssetStrategy][MaintenancePlan] CMMS Form Final  - tap Finalized - Maintenance Plan Item</t>
  </si>
  <si>
    <t>EAPM-2934</t>
  </si>
  <si>
    <t>[ASM][AssetStrategy][MaintenancePlan] CMMS Form Final  - tap Finalized - Maintenance Item (Object List)</t>
  </si>
  <si>
    <t>EAPM-2935</t>
  </si>
  <si>
    <t>[ASM][AssetStrategy][MaintenancePlan] CMMS Form Final  - tap Finalized - Task List (Header)</t>
  </si>
  <si>
    <t>EAPM-2936</t>
  </si>
  <si>
    <t>[ASM][AssetStrategy][MaintenancePlan] CMMS Form Final  - tap Finalized - Task List (Operation)</t>
  </si>
  <si>
    <t>EAPM-2937</t>
  </si>
  <si>
    <t>[ASM][AssetStrategy][MaintenancePlan] CMMS Form Final  - tap Finalized - Attach Job Card</t>
  </si>
  <si>
    <t>EAPM-2362</t>
  </si>
  <si>
    <t>[ASM][AssetStrategy][MaintenancePlan] CMMS Form Final - save data to APM DB</t>
  </si>
  <si>
    <t>EAPM-3352</t>
  </si>
  <si>
    <t>[ASM][AssetStrategy][MaintenancePlan] CMMS Form Final  - "Submit / Back" Button</t>
  </si>
  <si>
    <t>EAPM-3448</t>
  </si>
  <si>
    <t>[BE][ASM][AssetStrategy] Sync all "ASM Strategies" to GCP</t>
  </si>
  <si>
    <t>EAPM-2653</t>
  </si>
  <si>
    <t>[ASM][AssetStrategy] ASM Data Migration</t>
  </si>
  <si>
    <t>EAPM-3445</t>
  </si>
  <si>
    <t>[FE][RCA] POC powerpoint</t>
  </si>
  <si>
    <t>EAPM-3717</t>
  </si>
  <si>
    <t>[ASM] Update schema follow s4AHANA format</t>
  </si>
  <si>
    <t>EAPM-3727</t>
  </si>
  <si>
    <t xml:space="preserve">[ASM][AssetStrategy][MaintenancePlans] Integrate SAP </t>
  </si>
  <si>
    <t>EAPM-1160</t>
  </si>
  <si>
    <t>[Improvement][ASM][AssetStrategy][MaintenancePlans] Table List - After Submit CMMS - Add logic Submit button</t>
  </si>
  <si>
    <t>EAPM-3797</t>
  </si>
  <si>
    <t>[POC][FE][RCA] Logic Tree - Diagram</t>
  </si>
  <si>
    <t>EAPM-3875</t>
  </si>
  <si>
    <t>[Improvement][ASM][FE] Abbreviate number when exceeding digit threshold</t>
  </si>
  <si>
    <t>EAPM-4027</t>
  </si>
  <si>
    <t>[Improvement][ASM][BE] tuning performance Graph</t>
  </si>
  <si>
    <t>EAPM-4042</t>
  </si>
  <si>
    <t>[ASM][SAP] add temporary trigger button for test retry SAP failed - call api schedule SAP</t>
  </si>
  <si>
    <t>EAPM-3671</t>
  </si>
  <si>
    <t>[Improvement][AssetStrategy][CMMS] Add column “SCE Group” + Prefill Operation Short Text + Add K logic</t>
  </si>
  <si>
    <t>EAPM-3355</t>
  </si>
  <si>
    <t>[ASM][AssetStrategy][MaintenancePlans] Table List - Change Request No. - Hyperlink - modal Final, SG preview, related SG</t>
  </si>
  <si>
    <t>EAPM-1317</t>
  </si>
  <si>
    <t>[ASM][AssetStrategy][MaintenancePlans] Submit Change Request Form - CMMS Form Final - Export Excel Finalized</t>
  </si>
  <si>
    <t>EAPM-1316</t>
  </si>
  <si>
    <t>[ASM][AssetStrategy][CMMS] CMMS History Log - table + click button + Overview</t>
  </si>
  <si>
    <t>EAPM-2808</t>
  </si>
  <si>
    <t>[ASM][AssetStrategy][CMMS] CMMS History Log - Click Hyperlink - View CMMS Final Form Details</t>
  </si>
  <si>
    <t>EAPM-3926</t>
  </si>
  <si>
    <t>[ASM][AssetStrategy][CMMS] CMMS History Log - table - Export Excel (Submitted Final Form)</t>
  </si>
  <si>
    <t>EAPM-2809</t>
  </si>
  <si>
    <t>[ASM][AssetStrategy][CMMS] CMMS History Log - table - Export Excel Table View</t>
  </si>
  <si>
    <t>EAPM-4289</t>
  </si>
  <si>
    <t>[RCA] Initial Layout</t>
  </si>
  <si>
    <t>EAPM-3416</t>
  </si>
  <si>
    <t>[RCA][createNewAnalysis] modal input Case name &gt;&gt; save draft</t>
  </si>
  <si>
    <t>EAPM-4296</t>
  </si>
  <si>
    <t>[RCA][Dashboard] RCA Analysis (All) - table list</t>
  </si>
  <si>
    <t>EAPM-3420</t>
  </si>
  <si>
    <t>[RCA][createNewAnalysis] Common Header</t>
  </si>
  <si>
    <t>EAPM-1800</t>
  </si>
  <si>
    <t>[ASM][FE] Upgrade Version Angular</t>
  </si>
  <si>
    <t>EAPM-4447</t>
  </si>
  <si>
    <t>[ASM] Sustainable Tuning for support 2-3x or more data</t>
  </si>
  <si>
    <t>moved</t>
  </si>
  <si>
    <t>move to 28</t>
  </si>
  <si>
    <t>EAPM-4356</t>
  </si>
  <si>
    <t>[Improvement][SAP] change toast error message after submit CMMS</t>
  </si>
  <si>
    <t>EAPM-4355</t>
  </si>
  <si>
    <t>[Improvement][SAP] Error Handling from SAP response</t>
  </si>
  <si>
    <t>EAPM-3407</t>
  </si>
  <si>
    <t xml:space="preserve">[RCA][createNewAnalysis] Team Member </t>
  </si>
  <si>
    <t>EAPM-3408</t>
  </si>
  <si>
    <t>[RCA][createNewAnalysis] Case Background</t>
  </si>
  <si>
    <t>EAPM-3409</t>
  </si>
  <si>
    <t>[RCA][createNewAnalysis] Problem Analysis</t>
  </si>
  <si>
    <t>EAPM-3410</t>
  </si>
  <si>
    <t xml:space="preserve">[RCA][createNewAnalysis] Incident Timeline </t>
  </si>
  <si>
    <t>move to 29</t>
  </si>
  <si>
    <t>EAPM-4730</t>
  </si>
  <si>
    <t>[Improvement][ASM][CMMS] Submit CMMS -  Add PackageNo not found page</t>
  </si>
  <si>
    <t>added</t>
  </si>
  <si>
    <t>add on</t>
  </si>
  <si>
    <t>EAPM-4731</t>
  </si>
  <si>
    <t>[Improvement][ASM][CMMS] Submit CMMS - Change logic field "Updated Field"</t>
  </si>
  <si>
    <t>EAPM-3752</t>
  </si>
  <si>
    <t>[Improvement][ASM][AssetStrategy][Revision] disabled icon restore</t>
  </si>
  <si>
    <t>EAPM-3898</t>
  </si>
  <si>
    <t xml:space="preserve">[Improvement][ASM][BE+FE] Abbreviate number when exceeding digit threshold </t>
  </si>
  <si>
    <t xml:space="preserve">[RCA][createNewAnalysis] Incident Timeline - Export PDF </t>
  </si>
  <si>
    <t>removed</t>
  </si>
  <si>
    <t>remove</t>
  </si>
  <si>
    <t>EAPM-347</t>
  </si>
  <si>
    <t>[ASM][AssetStrategy][RisksAndTasks] Risk tap Details - Integrate AI Suggestion</t>
  </si>
  <si>
    <t>EAPM-3411</t>
  </si>
  <si>
    <t>[RCA][createNewAnalysis] Finding</t>
  </si>
  <si>
    <t>EAPM-3412</t>
  </si>
  <si>
    <t>[RCA][createNewAnalysis] Logic Tree</t>
  </si>
  <si>
    <t>EAPM-3413</t>
  </si>
  <si>
    <t>[RCA][createNewAnalysis] Logic Tree - Box Details</t>
  </si>
  <si>
    <t>EAPM-4516</t>
  </si>
  <si>
    <t>[RCA][createNewAnalysis] Logic Tree - Box Details - Actions</t>
  </si>
  <si>
    <t>[RCA][createNewAnalysis] Verification Action</t>
  </si>
  <si>
    <t>split</t>
  </si>
  <si>
    <t>breakdown 5217, move to sprint 30</t>
  </si>
  <si>
    <t>EAPM-4567</t>
  </si>
  <si>
    <t>[RCA][createNewAnalysis] Verification Action - Noti</t>
  </si>
  <si>
    <t>EAPM-3414</t>
  </si>
  <si>
    <t>[RCA][createNewAnalysis] RCA Recommendations</t>
  </si>
  <si>
    <t>breakdown 5234</t>
  </si>
  <si>
    <t>EAPM-3415</t>
  </si>
  <si>
    <t>[RCA][createNewAnalysis] Other Recommendations</t>
  </si>
  <si>
    <t>breakdown 5235</t>
  </si>
  <si>
    <t>EAPM-4568</t>
  </si>
  <si>
    <t>[RCA][createNewAnalysis] Reference Document - Table 1</t>
  </si>
  <si>
    <t>EAPM-4569</t>
  </si>
  <si>
    <t>[RCA][createNewAnalysis] Reference Document - Table 2</t>
  </si>
  <si>
    <t>move to backlog</t>
  </si>
  <si>
    <t>EAPM-5493</t>
  </si>
  <si>
    <t>[Improvement][MaintenancePlan][SAP] Integrate S4HANA - (B1)</t>
  </si>
  <si>
    <t>add on, no impact</t>
  </si>
  <si>
    <t>EAPM-5158</t>
  </si>
  <si>
    <t>[Improvement][RCA][createNewAnalysis] change source of PTTEP Risk Matrix + Add last updated date</t>
  </si>
  <si>
    <t>EAPM-5241</t>
  </si>
  <si>
    <t>[Improvement][RCA][createNewAnalysis] Verification Actions - Table List - allow assigned group email from azure + add column "Last Updated by"</t>
  </si>
  <si>
    <t>EAPM-5397</t>
  </si>
  <si>
    <t>[RCA] Sharepoint Structure</t>
  </si>
  <si>
    <t>EAPM-5395</t>
  </si>
  <si>
    <t>[Improvement][RCA][createNewAnalysis] add asset when create new RCA + add validate input format "RCA Case Name"</t>
  </si>
  <si>
    <t>EAPM-5434</t>
  </si>
  <si>
    <t>[Improvement][RCA][FE][createNewAnalysis] change save button name + change placeholder</t>
  </si>
  <si>
    <t>EAPM-5572</t>
  </si>
  <si>
    <t>[ServerError] HTTP Status Error 5xx</t>
  </si>
  <si>
    <t>EAPM-3406</t>
  </si>
  <si>
    <t>[RCA][createNewAnalysis] Executive Summary</t>
  </si>
  <si>
    <t>move to sprint 30</t>
  </si>
  <si>
    <t>EAPM-5023</t>
  </si>
  <si>
    <t>[RCA][Approval Flow] Case Approval - Approval detail + progress - Fa view</t>
  </si>
  <si>
    <t>move to sprint 32</t>
  </si>
  <si>
    <t>EAPM-5237</t>
  </si>
  <si>
    <t>[RCA][Approval Flow] Case Approval - Approval detail + progress - approver view</t>
  </si>
  <si>
    <t>EAPM-5812</t>
  </si>
  <si>
    <t>[Improvement][RCA][createNewAnalysis] Logic Tree - Main diagram</t>
  </si>
  <si>
    <t>EAPM 5848</t>
  </si>
  <si>
    <t>[Improvement][RCA][createNewAnalysis] Add validation - Folder Name in Sharepoint</t>
  </si>
  <si>
    <t>EAPM 5024</t>
  </si>
  <si>
    <t>[RCA][Approval Flow] Case Approval - Approval detail + progress - viewer</t>
  </si>
  <si>
    <t>EAPM 6178</t>
  </si>
  <si>
    <t>[RCA][Approval Flow] Case Approval - Approval Progress - Super User view</t>
  </si>
  <si>
    <t>EAPM 5847</t>
  </si>
  <si>
    <t>[RCA][Approval Flow] Case Approval - Approval History</t>
  </si>
  <si>
    <t>EAPM 5027</t>
  </si>
  <si>
    <t>[RCA][Approval Flow] Case Approval - Noti Email - Inform</t>
  </si>
  <si>
    <t xml:space="preserve">moved </t>
  </si>
  <si>
    <t>move to sprint 33</t>
  </si>
  <si>
    <t>EAPM 5028</t>
  </si>
  <si>
    <t>[RCA] Export Report</t>
  </si>
  <si>
    <t>EAPM-5022</t>
  </si>
  <si>
    <t>[RCA][Approval Flow] RCA Approval Tracking modal - Structure</t>
  </si>
  <si>
    <t>breakdown to srpint 32</t>
  </si>
  <si>
    <t>EAPM-5026</t>
  </si>
  <si>
    <t>[RCA][Approval Flow] Case Status - Permission</t>
  </si>
  <si>
    <t>EAPM-5059</t>
  </si>
  <si>
    <t>[RCA][UserManagement] Master Data Setting "RCA Type"</t>
  </si>
  <si>
    <t>EAPM-5236</t>
  </si>
  <si>
    <t>[RCA][Approval Flow] Submit RCA Case - “Start Investigation” button</t>
  </si>
  <si>
    <t>EAPM-6028</t>
  </si>
  <si>
    <t>[RCA][createNewAnalysis] Executive Summary - Design Request/Response JSON for AI</t>
  </si>
  <si>
    <t>EAPM-6231</t>
  </si>
  <si>
    <t>[RCA] Add Permission to all pages in RCA</t>
  </si>
  <si>
    <t>EAPM-6367</t>
  </si>
  <si>
    <t>[RCA][Approval Flow] Submit RCA Case - Flow Start Investigation</t>
  </si>
  <si>
    <t>EAPM-6368</t>
  </si>
  <si>
    <t>[RCA][Approval Flow] Submit RCA Case - Waiting Verification</t>
  </si>
  <si>
    <t>EAPM-6369</t>
  </si>
  <si>
    <t>[RCA][Approval Flow] Submit RCA Case - Approve</t>
  </si>
  <si>
    <t>EAPM-6370</t>
  </si>
  <si>
    <t>[RCA][Approval Flow] Submit RCA Case - Implementing Action and Complete</t>
  </si>
  <si>
    <t>EAPM 5029</t>
  </si>
  <si>
    <t>[RCA] Export Report - ppt &gt;&gt; PDF</t>
  </si>
  <si>
    <t>EAPM-3417</t>
  </si>
  <si>
    <t>[RCA][createNewAnalysis] Dash Board - Graph</t>
  </si>
  <si>
    <t>[RCA][createNewAnalysis] Dash Board - Table List - RCA Analysis(All)</t>
  </si>
  <si>
    <t>[RCA][createNewAnalysis] Dash Board - Table List - RCA Verification (Pending)</t>
  </si>
  <si>
    <t xml:space="preserve">[RCA][createNewAnalysis] Dash Board - Table List - RCA Recommendation (Pending) </t>
  </si>
  <si>
    <t>[RCA][UserAccount] User Management - Role&amp;Permissions - Azure</t>
  </si>
  <si>
    <t>move to sprint 31, breakerdown 5038, 5058</t>
  </si>
  <si>
    <t>[RCA][UserAccount] User Management - Role&amp;Permissions - Approval Flow - Add input setting</t>
  </si>
  <si>
    <t>move to sprint 31, breakerdown 5056, 5057, 5036, 5037</t>
  </si>
  <si>
    <t>[RCA][UserAccount] User Management - Role&amp;Permissions - Approval Flow - display</t>
  </si>
  <si>
    <t>move to sprint 31, breakdown 5034, 5035, 5020</t>
  </si>
  <si>
    <t xml:space="preserve">[RCA] Notification Email - Monthly 16th </t>
  </si>
  <si>
    <t>[RCA] Notification Email - Monthly 1st</t>
  </si>
  <si>
    <t>design and feedback loop #1</t>
  </si>
  <si>
    <t>design and feedback loop #2</t>
  </si>
  <si>
    <t>implement, deploy, and testing #1</t>
  </si>
  <si>
    <t>implement, deploy, and testing #2</t>
  </si>
  <si>
    <t>implement, deploy, and testing #3</t>
  </si>
  <si>
    <t>implement, deploy, and testing #4</t>
  </si>
  <si>
    <t>[Document] system and user manual, sonaqube result</t>
  </si>
  <si>
    <t xml:space="preserve">[KT] knowledge transfer </t>
  </si>
  <si>
    <t>Baseline vs Change — Project Scope Dashboard</t>
  </si>
  <si>
    <t>Source: 'baseline' sheet (item-level plan) and 'sprintday' sheet (sprint calendar). Timeline and budget are FIXED — Sprint 18 to 43.</t>
  </si>
  <si>
    <t>AS of 06 Aug 2026: not impact project timeline</t>
  </si>
  <si>
    <t>Chart data (do not delete)</t>
  </si>
  <si>
    <t>Current</t>
  </si>
  <si>
    <t>Change type</t>
  </si>
  <si>
    <t>Items</t>
  </si>
  <si>
    <t>Added (new scope)</t>
  </si>
  <si>
    <t>Broken down (re-planned)</t>
  </si>
  <si>
    <t>Moved to another sprint</t>
  </si>
  <si>
    <t>Sap</t>
  </si>
  <si>
    <t>1  |  SCOPE: BASELINE vs CURRENT</t>
  </si>
  <si>
    <t>Metric</t>
  </si>
  <si>
    <t>Value</t>
  </si>
  <si>
    <t>Comment</t>
  </si>
  <si>
    <t>Baseline scope agreed (items)</t>
  </si>
  <si>
    <t>At revision baseline on SOR 2026</t>
  </si>
  <si>
    <t>Current scope in plan (items)</t>
  </si>
  <si>
    <t>Everything in the plan today</t>
  </si>
  <si>
    <t>Net change vs baseline (items)</t>
  </si>
  <si>
    <t>Track of change (additional, in original)</t>
  </si>
  <si>
    <t>Net change (%)</t>
  </si>
  <si>
    <t xml:space="preserve">   – New add-on requests</t>
  </si>
  <si>
    <t>New scope</t>
  </si>
  <si>
    <t xml:space="preserve">   – Original baseline items broken down</t>
  </si>
  <si>
    <t>Same scope, more detailed tickets</t>
  </si>
  <si>
    <t>SAP Activity</t>
  </si>
  <si>
    <t>Sap Activities</t>
  </si>
  <si>
    <t>Items de-scoped / removed</t>
  </si>
  <si>
    <t>Items moved to another sprint</t>
  </si>
  <si>
    <t>Sequence changed, scope unchanged</t>
  </si>
  <si>
    <t>Timeline (start – end)</t>
  </si>
  <si>
    <t>Unchanged from baseline</t>
  </si>
  <si>
    <t>2  |  CHANGE BY MODULE</t>
  </si>
  <si>
    <t>Baseline items</t>
  </si>
  <si>
    <t>New items</t>
  </si>
  <si>
    <t>Current items</t>
  </si>
  <si>
    <t>Net change</t>
  </si>
  <si>
    <t>AS of 06 Aug 2026</t>
  </si>
  <si>
    <t>improvement - MyTasks</t>
  </si>
  <si>
    <t>notiEmail</t>
  </si>
  <si>
    <t>improvement - RisksAndTasks</t>
  </si>
  <si>
    <t>improvement - TableList</t>
  </si>
  <si>
    <t>GCP</t>
  </si>
  <si>
    <t>Total Result</t>
  </si>
  <si>
    <t>improvement - UserManagement</t>
  </si>
  <si>
    <t>improvement - MaintenancePlan</t>
  </si>
  <si>
    <t>(empty)</t>
  </si>
  <si>
    <t>improvement - Revision</t>
  </si>
  <si>
    <t>improvement - Excel</t>
  </si>
  <si>
    <t>improvement - StrategySummary</t>
  </si>
  <si>
    <t>sap</t>
  </si>
  <si>
    <t>Migrate Data</t>
  </si>
  <si>
    <t>improvement - Overview</t>
  </si>
  <si>
    <t>cmms history log</t>
  </si>
  <si>
    <t>improve rca</t>
  </si>
  <si>
    <t>team velocity</t>
  </si>
  <si>
    <t>story point/sprint</t>
  </si>
  <si>
    <t>full</t>
  </si>
  <si>
    <t>working day/sprint</t>
  </si>
  <si>
    <t>ref. holiday</t>
  </si>
  <si>
    <t>Start Date 
(Mon)</t>
  </si>
  <si>
    <t>End Date 
(Fri)</t>
  </si>
  <si>
    <t>Est. Story Point</t>
  </si>
  <si>
    <t>% Weight 
Resoure Sprint Utilize</t>
  </si>
  <si>
    <t>Remark</t>
  </si>
  <si>
    <t>Average of % Weight Resoure Sprint Utilize</t>
  </si>
  <si>
    <t>half sprint</t>
  </si>
  <si>
    <t>Date</t>
  </si>
  <si>
    <t>Holiday Name</t>
  </si>
  <si>
    <t>New Year's Day</t>
  </si>
  <si>
    <t>Makha Bucha Day</t>
  </si>
  <si>
    <t>Chakri Memorial Day</t>
  </si>
  <si>
    <t>Songkran</t>
  </si>
  <si>
    <t>National Labor Day</t>
  </si>
  <si>
    <t>Coronation Day</t>
  </si>
  <si>
    <t>Sub. Visakha Bucha</t>
  </si>
  <si>
    <t>Queen's Birthday</t>
  </si>
  <si>
    <t>King's Birthday</t>
  </si>
  <si>
    <t>Asarnha Bucha Day</t>
  </si>
  <si>
    <t>Mother's Day</t>
  </si>
  <si>
    <t>King Bhumibol Memorial</t>
  </si>
  <si>
    <t>King Chulalongkorn Memorial</t>
  </si>
  <si>
    <t>Sub. Father's Day</t>
  </si>
  <si>
    <t>New Year's Eve</t>
  </si>
  <si>
    <t>Change Record</t>
  </si>
  <si>
    <t>note original</t>
  </si>
  <si>
    <t>Baseline user story</t>
  </si>
  <si>
    <t xml:space="preserve">remove </t>
  </si>
  <si>
    <t>bread down 5217, move to sprint 30</t>
  </si>
  <si>
    <t>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</si>
</sst>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d/mmm/yyyy;@"/>
    <numFmt numFmtId="165" formatCode="[$-409]d/mmm/yy;@"/>
    <numFmt numFmtId="166" formatCode="d"/>
    <numFmt numFmtId="167" formatCode="\+#,##0;\-#,##0;&quot;–&quot;"/>
    <numFmt numFmtId="168" formatCode="0.0%"/>
    <numFmt numFmtId="169" formatCode="\+#,##0;\-#,##0;0"/>
  </numFmts>
  <fonts count="80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201505"/>
      <name val="Montserrat"/>
    </font>
    <font>
      <sz val="9"/>
      <color rgb="FF201505"/>
      <name val="Montserrat"/>
    </font>
    <font>
      <sz val="9"/>
      <color rgb="FF9C0006"/>
      <name val="Montserrat"/>
    </font>
    <font>
      <sz val="10"/>
      <color theme="1"/>
      <name val="Arial"/>
      <family val="2"/>
    </font>
    <font>
      <b/>
      <sz val="11"/>
      <color theme="0"/>
      <name val="Calibri"/>
      <family val="2"/>
    </font>
    <font>
      <b/>
      <sz val="9"/>
      <color rgb="FFFFFFFF"/>
      <name val="Montserrat"/>
    </font>
    <font>
      <sz val="11"/>
      <color rgb="FF000000"/>
      <name val="Aptos Narrow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1F1F1F"/>
      <name val="Google Sans Text"/>
      <family val="2"/>
      <charset val="1"/>
    </font>
    <font>
      <u/>
      <sz val="11"/>
      <color theme="10"/>
      <name val="Calibri"/>
      <family val="2"/>
      <scheme val="minor"/>
    </font>
    <font>
      <sz val="11"/>
      <color rgb="FF0F50F5"/>
      <name val="Calibri"/>
      <family val="2"/>
    </font>
    <font>
      <sz val="11"/>
      <color rgb="FF0A0AF5"/>
      <name val="Calibri"/>
      <family val="2"/>
    </font>
    <font>
      <sz val="11"/>
      <color rgb="FF0A0AF5"/>
      <name val="Calibri"/>
      <family val="2"/>
      <scheme val="minor"/>
    </font>
    <font>
      <sz val="11"/>
      <color rgb="FF0F50F5"/>
      <name val="Calibri"/>
      <family val="2"/>
      <scheme val="minor"/>
    </font>
    <font>
      <sz val="11"/>
      <color theme="1"/>
      <name val="Calibri"/>
      <family val="2"/>
    </font>
    <font>
      <sz val="11"/>
      <color rgb="FF0F50F5"/>
      <name val="Aptos Narrow"/>
      <family val="2"/>
    </font>
    <font>
      <b/>
      <sz val="11"/>
      <color rgb="FF000000"/>
      <name val="Calibri"/>
      <family val="2"/>
    </font>
    <font>
      <sz val="11"/>
      <color rgb="FF0F50F5"/>
      <name val="Google Sans Text"/>
      <family val="2"/>
      <charset val="1"/>
    </font>
    <font>
      <sz val="11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theme="1" tint="0.499984740745262"/>
      <name val="Aptos Narrow"/>
      <family val="2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FFFFFF"/>
      <name val="Calibri"/>
    </font>
    <font>
      <sz val="11"/>
      <color rgb="FF0F50F5"/>
      <name val="Aptos Narrow"/>
    </font>
    <font>
      <sz val="11"/>
      <color rgb="FF0F50F5"/>
      <name val="Calibri"/>
    </font>
    <font>
      <b/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theme="1"/>
      <name val="Calibri"/>
      <charset val="1"/>
    </font>
    <font>
      <b/>
      <sz val="11"/>
      <color rgb="FFFFFFFF"/>
      <name val="Calibri"/>
      <charset val="1"/>
    </font>
    <font>
      <sz val="11"/>
      <color rgb="FFFFFFFF"/>
      <name val="Calibri"/>
      <charset val="1"/>
    </font>
    <font>
      <sz val="11"/>
      <color rgb="FF0F50F5"/>
      <name val="Calibri"/>
      <charset val="1"/>
    </font>
    <font>
      <sz val="11"/>
      <color rgb="FF0F50F5"/>
      <name val="Aptos Narrow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b/>
      <sz val="11"/>
      <color theme="4" tint="-0.249977111117893"/>
      <name val="Calibri"/>
      <family val="2"/>
      <charset val="1"/>
    </font>
    <font>
      <sz val="11"/>
      <color rgb="FF0F50F5"/>
      <name val="Calibri"/>
      <family val="2"/>
      <charset val="1"/>
    </font>
    <font>
      <sz val="11"/>
      <color rgb="FF0F50F5"/>
      <name val="Aptos Narrow"/>
      <family val="2"/>
      <charset val="1"/>
    </font>
    <font>
      <sz val="11"/>
      <color theme="1" tint="0.49989318521683401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theme="1"/>
      <name val="Tahoma"/>
      <family val="2"/>
      <charset val="1"/>
    </font>
    <font>
      <b/>
      <sz val="10"/>
      <color theme="0"/>
      <name val="Tahoma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A0AF5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Aptos Narrow"/>
      <family val="2"/>
      <charset val="1"/>
    </font>
    <font>
      <b/>
      <sz val="12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i/>
      <sz val="10"/>
      <color rgb="FF595959"/>
      <name val="Calibri"/>
      <family val="2"/>
      <charset val="1"/>
    </font>
    <font>
      <b/>
      <sz val="16"/>
      <color rgb="FF1F3864"/>
      <name val="Calibri"/>
      <family val="2"/>
      <charset val="1"/>
    </font>
    <font>
      <b/>
      <sz val="11"/>
      <color rgb="FF00B050"/>
      <name val="Calibri"/>
      <family val="2"/>
      <charset val="1"/>
    </font>
    <font>
      <sz val="11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0"/>
      <color rgb="FF1F3864"/>
      <name val="Calibri"/>
    </font>
    <font>
      <b/>
      <sz val="9"/>
      <color rgb="FFFFFFFF"/>
      <name val="Calibri"/>
    </font>
    <font>
      <b/>
      <sz val="9"/>
      <name val="Calibri"/>
    </font>
    <font>
      <sz val="9"/>
      <name val="Calibri"/>
    </font>
    <font>
      <b/>
      <sz val="9"/>
      <color rgb="FF000000"/>
      <name val="Calibri"/>
    </font>
    <font>
      <b/>
      <sz val="9"/>
      <color rgb="FF1F3864"/>
      <name val="Calibri"/>
    </font>
    <font>
      <b/>
      <sz val="9"/>
      <color rgb="FF1F3864"/>
      <name val="Calibri"/>
    </font>
    <font>
      <b/>
      <sz val="8"/>
      <color rgb="FFFFFFFF"/>
      <name val="Calibri"/>
    </font>
    <font>
      <b/>
      <sz val="14"/>
      <color theme="3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00B0F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C3E50"/>
        <bgColor rgb="FF2F5597"/>
      </patternFill>
    </fill>
    <fill>
      <patternFill patternType="solid">
        <fgColor rgb="FF5D6D7E"/>
        <bgColor rgb="FFD9E1F2"/>
      </patternFill>
    </fill>
    <fill>
      <patternFill patternType="solid">
        <fgColor theme="1"/>
        <bgColor rgb="FF2F5597"/>
      </patternFill>
    </fill>
    <fill>
      <patternFill patternType="solid">
        <fgColor rgb="FF595959"/>
        <bgColor rgb="FF000000"/>
      </patternFill>
    </fill>
    <fill>
      <patternFill patternType="solid">
        <fgColor rgb="FF5D6D7E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rgb="FF2F5597"/>
      </patternFill>
    </fill>
    <fill>
      <patternFill patternType="solid">
        <fgColor theme="3" tint="0.59999389629810485"/>
        <bgColor rgb="FFD9E1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595959"/>
        <bgColor rgb="FF595959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538135"/>
        <bgColor rgb="FF77933C"/>
      </patternFill>
    </fill>
    <fill>
      <patternFill patternType="solid">
        <fgColor rgb="FFE2EFD9"/>
        <bgColor rgb="FFDBEEF4"/>
      </patternFill>
    </fill>
    <fill>
      <patternFill patternType="solid">
        <fgColor rgb="FF4472C4"/>
        <bgColor rgb="FF376092"/>
      </patternFill>
    </fill>
    <fill>
      <patternFill patternType="solid">
        <fgColor rgb="FFFFFF00"/>
        <bgColor rgb="FFFFC000"/>
      </patternFill>
    </fill>
    <fill>
      <patternFill patternType="solid">
        <fgColor theme="0"/>
        <bgColor rgb="FFF2F2F2"/>
      </patternFill>
    </fill>
    <fill>
      <patternFill patternType="solid">
        <fgColor theme="9" tint="0.59987182226020086"/>
        <bgColor rgb="FFFDEADA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E9EFF7"/>
      </patternFill>
    </fill>
    <fill>
      <patternFill patternType="solid">
        <fgColor rgb="FFD9D9D9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FF8C00"/>
      </patternFill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/>
      <right/>
      <top style="dashed">
        <color theme="0" tint="-0.34998626667073579"/>
      </top>
      <bottom style="dashed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/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/>
      <right style="dotted">
        <color theme="1" tint="0.499984740745262"/>
      </right>
      <top style="dotted">
        <color theme="1" tint="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rgb="FF000000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dotted">
        <color theme="1" tint="0.499984740745262"/>
      </left>
      <right/>
      <top/>
      <bottom style="dotted">
        <color theme="1" tint="0.499984740745262"/>
      </bottom>
      <diagonal/>
    </border>
    <border>
      <left style="dotted">
        <color theme="1" tint="0.49989318521683401"/>
      </left>
      <right style="dotted">
        <color theme="1" tint="0.49989318521683401"/>
      </right>
      <top style="dotted">
        <color theme="1" tint="0.49989318521683401"/>
      </top>
      <bottom style="dotted">
        <color theme="1" tint="0.49989318521683401"/>
      </bottom>
      <diagonal/>
    </border>
    <border>
      <left/>
      <right style="dotted">
        <color theme="1" tint="0.49989318521683401"/>
      </right>
      <top style="dotted">
        <color theme="1" tint="0.49989318521683401"/>
      </top>
      <bottom style="dotted">
        <color theme="1" tint="0.49989318521683401"/>
      </bottom>
      <diagonal/>
    </border>
    <border>
      <left style="dotted">
        <color theme="1" tint="0.49989318521683401"/>
      </left>
      <right style="dotted">
        <color theme="1" tint="0.49989318521683401"/>
      </right>
      <top/>
      <bottom style="dotted">
        <color theme="1" tint="0.49989318521683401"/>
      </bottom>
      <diagonal/>
    </border>
    <border>
      <left style="dotted">
        <color theme="1" tint="0.49989318521683401"/>
      </left>
      <right/>
      <top/>
      <bottom style="dotted">
        <color theme="1" tint="0.49989318521683401"/>
      </bottom>
      <diagonal/>
    </border>
    <border>
      <left/>
      <right style="dotted">
        <color theme="1" tint="0.49989318521683401"/>
      </right>
      <top/>
      <bottom style="dotted">
        <color theme="1" tint="0.49989318521683401"/>
      </bottom>
      <diagonal/>
    </border>
    <border>
      <left style="dotted">
        <color theme="1" tint="0.49989318521683401"/>
      </left>
      <right style="dotted">
        <color theme="1" tint="0.49989318521683401"/>
      </right>
      <top style="dotted">
        <color theme="1" tint="0.49989318521683401"/>
      </top>
      <bottom style="thin">
        <color auto="1"/>
      </bottom>
      <diagonal/>
    </border>
    <border>
      <left/>
      <right style="dotted">
        <color theme="1" tint="0.49989318521683401"/>
      </right>
      <top style="dotted">
        <color theme="1" tint="0.4998931852168340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tted">
        <color rgb="FFFFFFFF"/>
      </left>
      <right style="dotted">
        <color rgb="FFFFFFFF"/>
      </right>
      <top style="thin">
        <color auto="1"/>
      </top>
      <bottom style="thin">
        <color auto="1"/>
      </bottom>
      <diagonal/>
    </border>
    <border>
      <left style="dotted">
        <color rgb="FFFFFFF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3" fillId="0" borderId="0"/>
    <xf numFmtId="0" fontId="16" fillId="0" borderId="0"/>
    <xf numFmtId="0" fontId="47" fillId="0" borderId="0"/>
    <xf numFmtId="0" fontId="47" fillId="0" borderId="0"/>
    <xf numFmtId="0" fontId="47" fillId="0" borderId="0">
      <alignment horizontal="left"/>
    </xf>
    <xf numFmtId="0" fontId="47" fillId="0" borderId="0"/>
    <xf numFmtId="0" fontId="48" fillId="0" borderId="0">
      <alignment horizontal="left"/>
    </xf>
    <xf numFmtId="0" fontId="48" fillId="0" borderId="0"/>
    <xf numFmtId="0" fontId="47" fillId="0" borderId="0"/>
    <xf numFmtId="9" fontId="47" fillId="0" borderId="0"/>
  </cellStyleXfs>
  <cellXfs count="386">
    <xf numFmtId="0" fontId="0" fillId="0" borderId="0" xfId="0"/>
    <xf numFmtId="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9" fontId="1" fillId="2" borderId="0" xfId="0" applyNumberFormat="1" applyFont="1" applyFill="1"/>
    <xf numFmtId="0" fontId="2" fillId="3" borderId="0" xfId="0" applyFont="1" applyFill="1"/>
    <xf numFmtId="9" fontId="2" fillId="3" borderId="0" xfId="0" applyNumberFormat="1" applyFont="1" applyFill="1"/>
    <xf numFmtId="9" fontId="1" fillId="2" borderId="0" xfId="1" applyFont="1" applyFill="1"/>
    <xf numFmtId="164" fontId="1" fillId="2" borderId="0" xfId="0" applyNumberFormat="1" applyFont="1" applyFill="1"/>
    <xf numFmtId="164" fontId="2" fillId="3" borderId="0" xfId="0" applyNumberFormat="1" applyFont="1" applyFill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10" fontId="0" fillId="0" borderId="0" xfId="0" applyNumberFormat="1"/>
    <xf numFmtId="10" fontId="0" fillId="0" borderId="0" xfId="1" applyNumberFormat="1" applyFont="1"/>
    <xf numFmtId="10" fontId="0" fillId="0" borderId="0" xfId="1" applyNumberFormat="1" applyFont="1" applyAlignment="1">
      <alignment horizontal="right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8" fillId="0" borderId="2" xfId="0" applyFont="1" applyBorder="1" applyAlignment="1">
      <alignment wrapText="1"/>
    </xf>
    <xf numFmtId="15" fontId="8" fillId="0" borderId="2" xfId="0" applyNumberFormat="1" applyFont="1" applyBorder="1" applyAlignment="1">
      <alignment horizontal="right" wrapText="1"/>
    </xf>
    <xf numFmtId="9" fontId="8" fillId="0" borderId="2" xfId="1" applyFont="1" applyBorder="1" applyAlignment="1">
      <alignment wrapText="1"/>
    </xf>
    <xf numFmtId="9" fontId="8" fillId="0" borderId="2" xfId="0" applyNumberFormat="1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6" borderId="2" xfId="0" applyFont="1" applyFill="1" applyBorder="1" applyAlignment="1">
      <alignment wrapText="1"/>
    </xf>
    <xf numFmtId="15" fontId="8" fillId="6" borderId="2" xfId="0" applyNumberFormat="1" applyFont="1" applyFill="1" applyBorder="1" applyAlignment="1">
      <alignment horizontal="right" wrapText="1"/>
    </xf>
    <xf numFmtId="9" fontId="8" fillId="6" borderId="2" xfId="1" applyFont="1" applyFill="1" applyBorder="1" applyAlignment="1">
      <alignment wrapText="1"/>
    </xf>
    <xf numFmtId="9" fontId="8" fillId="6" borderId="2" xfId="0" applyNumberFormat="1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15" fontId="8" fillId="5" borderId="2" xfId="0" applyNumberFormat="1" applyFont="1" applyFill="1" applyBorder="1" applyAlignment="1">
      <alignment horizontal="right" wrapText="1"/>
    </xf>
    <xf numFmtId="9" fontId="8" fillId="5" borderId="2" xfId="1" applyFont="1" applyFill="1" applyBorder="1" applyAlignment="1">
      <alignment wrapText="1"/>
    </xf>
    <xf numFmtId="9" fontId="8" fillId="5" borderId="2" xfId="0" applyNumberFormat="1" applyFont="1" applyFill="1" applyBorder="1" applyAlignment="1">
      <alignment wrapText="1"/>
    </xf>
    <xf numFmtId="0" fontId="10" fillId="10" borderId="4" xfId="0" applyFont="1" applyFill="1" applyBorder="1" applyAlignment="1">
      <alignment horizontal="center" vertical="center"/>
    </xf>
    <xf numFmtId="15" fontId="0" fillId="0" borderId="0" xfId="0" applyNumberFormat="1"/>
    <xf numFmtId="0" fontId="0" fillId="14" borderId="1" xfId="0" applyFill="1" applyBorder="1"/>
    <xf numFmtId="0" fontId="6" fillId="0" borderId="6" xfId="0" applyFont="1" applyBorder="1" applyAlignment="1">
      <alignment horizontal="center" vertical="center"/>
    </xf>
    <xf numFmtId="0" fontId="0" fillId="0" borderId="6" xfId="0" applyBorder="1"/>
    <xf numFmtId="0" fontId="0" fillId="12" borderId="6" xfId="0" applyFill="1" applyBorder="1"/>
    <xf numFmtId="0" fontId="0" fillId="11" borderId="6" xfId="0" applyFill="1" applyBorder="1"/>
    <xf numFmtId="0" fontId="0" fillId="13" borderId="6" xfId="0" applyFill="1" applyBorder="1"/>
    <xf numFmtId="0" fontId="1" fillId="7" borderId="0" xfId="0" applyFont="1" applyFill="1"/>
    <xf numFmtId="164" fontId="1" fillId="7" borderId="0" xfId="0" applyNumberFormat="1" applyFont="1" applyFill="1"/>
    <xf numFmtId="9" fontId="1" fillId="7" borderId="0" xfId="0" applyNumberFormat="1" applyFont="1" applyFill="1"/>
    <xf numFmtId="0" fontId="9" fillId="8" borderId="0" xfId="0" applyFont="1" applyFill="1"/>
    <xf numFmtId="164" fontId="9" fillId="8" borderId="0" xfId="0" applyNumberFormat="1" applyFont="1" applyFill="1"/>
    <xf numFmtId="9" fontId="9" fillId="8" borderId="0" xfId="0" applyNumberFormat="1" applyFont="1" applyFill="1"/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1" fillId="9" borderId="0" xfId="0" applyFont="1" applyFill="1" applyAlignment="1">
      <alignment horizontal="center" vertical="center"/>
    </xf>
    <xf numFmtId="164" fontId="1" fillId="9" borderId="0" xfId="0" applyNumberFormat="1" applyFont="1" applyFill="1" applyAlignment="1">
      <alignment horizontal="center" vertical="center"/>
    </xf>
    <xf numFmtId="9" fontId="1" fillId="7" borderId="0" xfId="1" applyFont="1" applyFill="1"/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2" fillId="15" borderId="0" xfId="0" applyFont="1" applyFill="1"/>
    <xf numFmtId="164" fontId="12" fillId="15" borderId="0" xfId="0" applyNumberFormat="1" applyFont="1" applyFill="1"/>
    <xf numFmtId="9" fontId="12" fillId="15" borderId="0" xfId="0" applyNumberFormat="1" applyFont="1" applyFill="1"/>
    <xf numFmtId="9" fontId="12" fillId="15" borderId="0" xfId="1" applyFont="1" applyFill="1"/>
    <xf numFmtId="0" fontId="13" fillId="16" borderId="0" xfId="0" applyFont="1" applyFill="1"/>
    <xf numFmtId="164" fontId="13" fillId="16" borderId="0" xfId="0" applyNumberFormat="1" applyFont="1" applyFill="1"/>
    <xf numFmtId="9" fontId="13" fillId="16" borderId="0" xfId="0" applyNumberFormat="1" applyFont="1" applyFill="1"/>
    <xf numFmtId="0" fontId="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5" fontId="14" fillId="0" borderId="0" xfId="0" applyNumberFormat="1" applyFont="1"/>
    <xf numFmtId="15" fontId="14" fillId="0" borderId="0" xfId="0" applyNumberFormat="1" applyFont="1" applyAlignment="1">
      <alignment horizontal="center"/>
    </xf>
    <xf numFmtId="0" fontId="14" fillId="0" borderId="0" xfId="0" applyFont="1"/>
    <xf numFmtId="1" fontId="14" fillId="0" borderId="0" xfId="0" applyNumberFormat="1" applyFont="1"/>
    <xf numFmtId="1" fontId="0" fillId="0" borderId="0" xfId="0" applyNumberFormat="1"/>
    <xf numFmtId="0" fontId="15" fillId="0" borderId="0" xfId="0" applyFont="1" applyAlignment="1">
      <alignment readingOrder="1"/>
    </xf>
    <xf numFmtId="1" fontId="0" fillId="0" borderId="0" xfId="0" applyNumberFormat="1" applyAlignment="1">
      <alignment horizontal="center"/>
    </xf>
    <xf numFmtId="0" fontId="14" fillId="0" borderId="7" xfId="0" applyFont="1" applyBorder="1" applyAlignment="1">
      <alignment horizontal="center"/>
    </xf>
    <xf numFmtId="0" fontId="1" fillId="21" borderId="0" xfId="0" applyFont="1" applyFill="1" applyAlignment="1">
      <alignment horizontal="center" vertical="center"/>
    </xf>
    <xf numFmtId="164" fontId="1" fillId="21" borderId="0" xfId="0" applyNumberFormat="1" applyFont="1" applyFill="1" applyAlignment="1">
      <alignment horizontal="center" vertical="center"/>
    </xf>
    <xf numFmtId="0" fontId="12" fillId="22" borderId="0" xfId="0" applyFont="1" applyFill="1"/>
    <xf numFmtId="164" fontId="12" fillId="22" borderId="0" xfId="0" applyNumberFormat="1" applyFont="1" applyFill="1" applyAlignment="1">
      <alignment horizontal="center"/>
    </xf>
    <xf numFmtId="0" fontId="12" fillId="22" borderId="0" xfId="0" applyFont="1" applyFill="1" applyAlignment="1">
      <alignment horizontal="center"/>
    </xf>
    <xf numFmtId="9" fontId="12" fillId="22" borderId="0" xfId="0" applyNumberFormat="1" applyFont="1" applyFill="1"/>
    <xf numFmtId="9" fontId="12" fillId="22" borderId="0" xfId="1" applyFont="1" applyFill="1"/>
    <xf numFmtId="0" fontId="0" fillId="0" borderId="0" xfId="0" pivotButton="1"/>
    <xf numFmtId="165" fontId="0" fillId="0" borderId="0" xfId="0" applyNumberFormat="1"/>
    <xf numFmtId="1" fontId="18" fillId="0" borderId="0" xfId="0" applyNumberFormat="1" applyFont="1"/>
    <xf numFmtId="1" fontId="19" fillId="0" borderId="0" xfId="0" applyNumberFormat="1" applyFont="1"/>
    <xf numFmtId="0" fontId="20" fillId="0" borderId="0" xfId="0" applyFont="1"/>
    <xf numFmtId="0" fontId="23" fillId="0" borderId="0" xfId="0" applyFont="1"/>
    <xf numFmtId="0" fontId="15" fillId="0" borderId="0" xfId="0" applyFont="1" applyAlignment="1">
      <alignment horizontal="center" vertical="top" readingOrder="1"/>
    </xf>
    <xf numFmtId="0" fontId="15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16" fillId="0" borderId="0" xfId="2"/>
    <xf numFmtId="15" fontId="24" fillId="0" borderId="0" xfId="0" applyNumberFormat="1" applyFont="1" applyAlignment="1">
      <alignment readingOrder="1"/>
    </xf>
    <xf numFmtId="0" fontId="0" fillId="23" borderId="0" xfId="0" applyFill="1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0" fontId="28" fillId="23" borderId="10" xfId="0" applyFont="1" applyFill="1" applyBorder="1" applyAlignment="1">
      <alignment readingOrder="1"/>
    </xf>
    <xf numFmtId="0" fontId="21" fillId="24" borderId="10" xfId="0" applyFont="1" applyFill="1" applyBorder="1"/>
    <xf numFmtId="0" fontId="29" fillId="24" borderId="10" xfId="0" applyFont="1" applyFill="1" applyBorder="1" applyAlignment="1">
      <alignment readingOrder="1"/>
    </xf>
    <xf numFmtId="0" fontId="12" fillId="24" borderId="10" xfId="0" applyFont="1" applyFill="1" applyBorder="1" applyAlignment="1">
      <alignment horizontal="center"/>
    </xf>
    <xf numFmtId="9" fontId="12" fillId="24" borderId="10" xfId="1" applyFont="1" applyFill="1" applyBorder="1"/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10" xfId="0" applyNumberFormat="1" applyBorder="1"/>
    <xf numFmtId="0" fontId="22" fillId="0" borderId="10" xfId="0" applyFont="1" applyBorder="1" applyAlignment="1">
      <alignment vertical="top"/>
    </xf>
    <xf numFmtId="0" fontId="1" fillId="24" borderId="10" xfId="0" applyFont="1" applyFill="1" applyBorder="1"/>
    <xf numFmtId="166" fontId="23" fillId="0" borderId="7" xfId="0" applyNumberFormat="1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1" fillId="25" borderId="8" xfId="0" applyFont="1" applyFill="1" applyBorder="1" applyAlignment="1">
      <alignment horizontal="center"/>
    </xf>
    <xf numFmtId="15" fontId="17" fillId="0" borderId="0" xfId="0" applyNumberFormat="1" applyFont="1"/>
    <xf numFmtId="15" fontId="30" fillId="24" borderId="10" xfId="0" applyNumberFormat="1" applyFont="1" applyFill="1" applyBorder="1"/>
    <xf numFmtId="15" fontId="17" fillId="0" borderId="10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5" borderId="14" xfId="0" applyFill="1" applyBorder="1"/>
    <xf numFmtId="0" fontId="0" fillId="26" borderId="14" xfId="0" applyFill="1" applyBorder="1"/>
    <xf numFmtId="0" fontId="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9" fontId="20" fillId="0" borderId="10" xfId="0" applyNumberFormat="1" applyFont="1" applyBorder="1" applyAlignment="1">
      <alignment horizontal="center"/>
    </xf>
    <xf numFmtId="0" fontId="25" fillId="17" borderId="14" xfId="0" applyFont="1" applyFill="1" applyBorder="1"/>
    <xf numFmtId="15" fontId="25" fillId="17" borderId="14" xfId="0" applyNumberFormat="1" applyFont="1" applyFill="1" applyBorder="1"/>
    <xf numFmtId="0" fontId="25" fillId="17" borderId="14" xfId="0" applyFont="1" applyFill="1" applyBorder="1" applyAlignment="1">
      <alignment horizontal="center"/>
    </xf>
    <xf numFmtId="9" fontId="25" fillId="17" borderId="14" xfId="1" applyFont="1" applyFill="1" applyBorder="1"/>
    <xf numFmtId="0" fontId="26" fillId="0" borderId="14" xfId="0" applyFont="1" applyBorder="1"/>
    <xf numFmtId="0" fontId="27" fillId="0" borderId="14" xfId="0" applyFont="1" applyBorder="1" applyAlignment="1">
      <alignment vertical="top"/>
    </xf>
    <xf numFmtId="164" fontId="26" fillId="0" borderId="14" xfId="0" applyNumberFormat="1" applyFont="1" applyBorder="1"/>
    <xf numFmtId="0" fontId="26" fillId="0" borderId="14" xfId="0" applyFont="1" applyBorder="1" applyAlignment="1">
      <alignment horizontal="center"/>
    </xf>
    <xf numFmtId="0" fontId="0" fillId="0" borderId="15" xfId="0" applyBorder="1"/>
    <xf numFmtId="0" fontId="22" fillId="0" borderId="13" xfId="0" applyFont="1" applyBorder="1" applyAlignment="1">
      <alignment vertical="top"/>
    </xf>
    <xf numFmtId="0" fontId="20" fillId="0" borderId="13" xfId="0" applyFont="1" applyBorder="1" applyAlignment="1">
      <alignment horizontal="center"/>
    </xf>
    <xf numFmtId="9" fontId="20" fillId="0" borderId="13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3" xfId="0" applyNumberFormat="1" applyBorder="1"/>
    <xf numFmtId="9" fontId="30" fillId="24" borderId="10" xfId="0" applyNumberFormat="1" applyFont="1" applyFill="1" applyBorder="1"/>
    <xf numFmtId="9" fontId="30" fillId="24" borderId="10" xfId="1" applyFont="1" applyFill="1" applyBorder="1"/>
    <xf numFmtId="9" fontId="30" fillId="24" borderId="10" xfId="0" applyNumberFormat="1" applyFont="1" applyFill="1" applyBorder="1" applyAlignment="1">
      <alignment horizontal="right"/>
    </xf>
    <xf numFmtId="0" fontId="1" fillId="19" borderId="7" xfId="0" applyFont="1" applyFill="1" applyBorder="1" applyAlignment="1">
      <alignment horizontal="center"/>
    </xf>
    <xf numFmtId="0" fontId="1" fillId="18" borderId="0" xfId="0" applyFont="1" applyFill="1"/>
    <xf numFmtId="1" fontId="1" fillId="18" borderId="0" xfId="0" applyNumberFormat="1" applyFont="1" applyFill="1"/>
    <xf numFmtId="0" fontId="1" fillId="25" borderId="7" xfId="0" applyFont="1" applyFill="1" applyBorder="1" applyAlignment="1">
      <alignment horizontal="center"/>
    </xf>
    <xf numFmtId="15" fontId="17" fillId="0" borderId="13" xfId="0" applyNumberFormat="1" applyFont="1" applyBorder="1"/>
    <xf numFmtId="0" fontId="0" fillId="27" borderId="0" xfId="0" applyFill="1"/>
    <xf numFmtId="0" fontId="0" fillId="28" borderId="0" xfId="0" applyFill="1"/>
    <xf numFmtId="0" fontId="4" fillId="28" borderId="0" xfId="0" applyFont="1" applyFill="1"/>
    <xf numFmtId="15" fontId="14" fillId="28" borderId="0" xfId="0" applyNumberFormat="1" applyFont="1" applyFill="1" applyAlignment="1">
      <alignment horizontal="center"/>
    </xf>
    <xf numFmtId="1" fontId="19" fillId="28" borderId="0" xfId="0" applyNumberFormat="1" applyFont="1" applyFill="1"/>
    <xf numFmtId="1" fontId="18" fillId="28" borderId="0" xfId="0" applyNumberFormat="1" applyFont="1" applyFill="1"/>
    <xf numFmtId="0" fontId="0" fillId="0" borderId="17" xfId="0" applyBorder="1"/>
    <xf numFmtId="0" fontId="0" fillId="0" borderId="16" xfId="0" applyBorder="1"/>
    <xf numFmtId="0" fontId="26" fillId="0" borderId="18" xfId="0" applyFont="1" applyBorder="1"/>
    <xf numFmtId="0" fontId="22" fillId="0" borderId="19" xfId="0" applyFont="1" applyBorder="1" applyAlignment="1">
      <alignment vertical="top"/>
    </xf>
    <xf numFmtId="15" fontId="17" fillId="0" borderId="19" xfId="0" applyNumberFormat="1" applyFont="1" applyBorder="1"/>
    <xf numFmtId="0" fontId="20" fillId="0" borderId="19" xfId="0" applyFont="1" applyBorder="1" applyAlignment="1">
      <alignment horizontal="center"/>
    </xf>
    <xf numFmtId="9" fontId="20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19" xfId="0" applyNumberFormat="1" applyBorder="1"/>
    <xf numFmtId="0" fontId="0" fillId="0" borderId="20" xfId="0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9" fontId="12" fillId="24" borderId="10" xfId="1" applyFont="1" applyFill="1" applyBorder="1" applyAlignment="1">
      <alignment horizontal="right"/>
    </xf>
    <xf numFmtId="9" fontId="0" fillId="0" borderId="10" xfId="0" applyNumberFormat="1" applyBorder="1" applyAlignment="1">
      <alignment horizontal="right"/>
    </xf>
    <xf numFmtId="9" fontId="0" fillId="0" borderId="21" xfId="0" applyNumberFormat="1" applyBorder="1" applyAlignment="1">
      <alignment horizontal="right"/>
    </xf>
    <xf numFmtId="0" fontId="28" fillId="23" borderId="10" xfId="0" applyFont="1" applyFill="1" applyBorder="1" applyAlignment="1">
      <alignment horizontal="center" readingOrder="1"/>
    </xf>
    <xf numFmtId="0" fontId="31" fillId="24" borderId="10" xfId="0" applyFont="1" applyFill="1" applyBorder="1"/>
    <xf numFmtId="0" fontId="32" fillId="24" borderId="10" xfId="0" applyFont="1" applyFill="1" applyBorder="1"/>
    <xf numFmtId="15" fontId="33" fillId="24" borderId="10" xfId="0" applyNumberFormat="1" applyFont="1" applyFill="1" applyBorder="1"/>
    <xf numFmtId="0" fontId="34" fillId="24" borderId="10" xfId="0" applyFont="1" applyFill="1" applyBorder="1" applyAlignment="1">
      <alignment horizontal="center"/>
    </xf>
    <xf numFmtId="9" fontId="34" fillId="24" borderId="10" xfId="1" applyFont="1" applyFill="1" applyBorder="1" applyAlignment="1">
      <alignment horizontal="right"/>
    </xf>
    <xf numFmtId="0" fontId="35" fillId="0" borderId="10" xfId="0" applyFont="1" applyBorder="1" applyAlignment="1">
      <alignment vertical="top"/>
    </xf>
    <xf numFmtId="15" fontId="36" fillId="0" borderId="13" xfId="0" applyNumberFormat="1" applyFont="1" applyBorder="1"/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left"/>
    </xf>
    <xf numFmtId="15" fontId="14" fillId="0" borderId="0" xfId="0" applyNumberFormat="1" applyFont="1" applyAlignment="1">
      <alignment horizontal="left"/>
    </xf>
    <xf numFmtId="15" fontId="21" fillId="0" borderId="0" xfId="0" applyNumberFormat="1" applyFont="1" applyAlignment="1">
      <alignment horizontal="left"/>
    </xf>
    <xf numFmtId="15" fontId="37" fillId="0" borderId="0" xfId="0" applyNumberFormat="1" applyFont="1" applyAlignment="1">
      <alignment horizontal="left"/>
    </xf>
    <xf numFmtId="0" fontId="0" fillId="0" borderId="22" xfId="0" applyBorder="1"/>
    <xf numFmtId="0" fontId="0" fillId="0" borderId="23" xfId="0" applyBorder="1"/>
    <xf numFmtId="0" fontId="38" fillId="0" borderId="0" xfId="0" applyFont="1"/>
    <xf numFmtId="0" fontId="39" fillId="0" borderId="0" xfId="0" applyFont="1"/>
    <xf numFmtId="0" fontId="0" fillId="29" borderId="0" xfId="0" applyFill="1" applyAlignment="1">
      <alignment horizontal="left" vertical="top"/>
    </xf>
    <xf numFmtId="0" fontId="40" fillId="29" borderId="0" xfId="0" applyFont="1" applyFill="1" applyAlignment="1">
      <alignment vertical="top"/>
    </xf>
    <xf numFmtId="0" fontId="0" fillId="29" borderId="0" xfId="0" applyFill="1"/>
    <xf numFmtId="0" fontId="40" fillId="29" borderId="0" xfId="0" applyFont="1" applyFill="1"/>
    <xf numFmtId="1" fontId="41" fillId="0" borderId="0" xfId="0" applyNumberFormat="1" applyFont="1"/>
    <xf numFmtId="1" fontId="21" fillId="0" borderId="0" xfId="0" applyNumberFormat="1" applyFont="1"/>
    <xf numFmtId="0" fontId="47" fillId="0" borderId="0" xfId="9"/>
    <xf numFmtId="0" fontId="47" fillId="0" borderId="0" xfId="9" applyAlignment="1">
      <alignment horizontal="right"/>
    </xf>
    <xf numFmtId="0" fontId="47" fillId="0" borderId="0" xfId="9" applyAlignment="1">
      <alignment horizontal="center"/>
    </xf>
    <xf numFmtId="164" fontId="47" fillId="0" borderId="0" xfId="9" applyNumberFormat="1"/>
    <xf numFmtId="0" fontId="49" fillId="0" borderId="0" xfId="9" applyFont="1"/>
    <xf numFmtId="0" fontId="50" fillId="0" borderId="0" xfId="9" applyFont="1"/>
    <xf numFmtId="166" fontId="47" fillId="0" borderId="0" xfId="9" applyNumberFormat="1"/>
    <xf numFmtId="0" fontId="47" fillId="0" borderId="29" xfId="9" applyBorder="1"/>
    <xf numFmtId="0" fontId="47" fillId="0" borderId="19" xfId="9" applyBorder="1"/>
    <xf numFmtId="0" fontId="47" fillId="0" borderId="30" xfId="9" applyBorder="1"/>
    <xf numFmtId="9" fontId="47" fillId="0" borderId="19" xfId="9" applyNumberFormat="1" applyBorder="1" applyAlignment="1">
      <alignment horizontal="right"/>
    </xf>
    <xf numFmtId="9" fontId="47" fillId="0" borderId="19" xfId="9" applyNumberFormat="1" applyBorder="1"/>
    <xf numFmtId="0" fontId="47" fillId="0" borderId="19" xfId="9" applyBorder="1" applyAlignment="1">
      <alignment horizontal="center"/>
    </xf>
    <xf numFmtId="0" fontId="51" fillId="0" borderId="19" xfId="9" applyFont="1" applyBorder="1" applyAlignment="1">
      <alignment horizontal="center"/>
    </xf>
    <xf numFmtId="15" fontId="51" fillId="0" borderId="19" xfId="9" applyNumberFormat="1" applyFont="1" applyBorder="1"/>
    <xf numFmtId="0" fontId="52" fillId="0" borderId="19" xfId="9" applyFont="1" applyBorder="1" applyAlignment="1">
      <alignment vertical="top"/>
    </xf>
    <xf numFmtId="0" fontId="53" fillId="0" borderId="29" xfId="9" applyFont="1" applyBorder="1"/>
    <xf numFmtId="0" fontId="47" fillId="0" borderId="24" xfId="9" applyBorder="1"/>
    <xf numFmtId="0" fontId="47" fillId="0" borderId="10" xfId="9" applyBorder="1"/>
    <xf numFmtId="0" fontId="47" fillId="0" borderId="25" xfId="9" applyBorder="1"/>
    <xf numFmtId="9" fontId="47" fillId="0" borderId="10" xfId="9" applyNumberFormat="1" applyBorder="1" applyAlignment="1">
      <alignment horizontal="right"/>
    </xf>
    <xf numFmtId="9" fontId="47" fillId="0" borderId="10" xfId="9" applyNumberFormat="1" applyBorder="1"/>
    <xf numFmtId="0" fontId="47" fillId="0" borderId="13" xfId="9" applyBorder="1" applyAlignment="1">
      <alignment horizontal="center"/>
    </xf>
    <xf numFmtId="0" fontId="51" fillId="0" borderId="13" xfId="9" applyFont="1" applyBorder="1" applyAlignment="1">
      <alignment horizontal="center"/>
    </xf>
    <xf numFmtId="15" fontId="51" fillId="0" borderId="13" xfId="9" applyNumberFormat="1" applyFont="1" applyBorder="1"/>
    <xf numFmtId="0" fontId="52" fillId="0" borderId="10" xfId="9" applyFont="1" applyBorder="1" applyAlignment="1">
      <alignment vertical="top"/>
    </xf>
    <xf numFmtId="0" fontId="53" fillId="0" borderId="24" xfId="9" applyFont="1" applyBorder="1"/>
    <xf numFmtId="0" fontId="47" fillId="0" borderId="26" xfId="9" applyBorder="1"/>
    <xf numFmtId="9" fontId="54" fillId="32" borderId="10" xfId="10" applyFont="1" applyFill="1" applyBorder="1" applyAlignment="1">
      <alignment horizontal="right"/>
    </xf>
    <xf numFmtId="9" fontId="48" fillId="32" borderId="10" xfId="9" applyNumberFormat="1" applyFont="1" applyFill="1" applyBorder="1" applyAlignment="1">
      <alignment horizontal="right"/>
    </xf>
    <xf numFmtId="9" fontId="48" fillId="32" borderId="10" xfId="9" applyNumberFormat="1" applyFont="1" applyFill="1" applyBorder="1"/>
    <xf numFmtId="0" fontId="54" fillId="32" borderId="10" xfId="9" applyFont="1" applyFill="1" applyBorder="1" applyAlignment="1">
      <alignment horizontal="center"/>
    </xf>
    <xf numFmtId="15" fontId="48" fillId="32" borderId="10" xfId="9" applyNumberFormat="1" applyFont="1" applyFill="1" applyBorder="1"/>
    <xf numFmtId="0" fontId="55" fillId="32" borderId="10" xfId="9" applyFont="1" applyFill="1" applyBorder="1"/>
    <xf numFmtId="0" fontId="30" fillId="32" borderId="10" xfId="9" applyFont="1" applyFill="1" applyBorder="1"/>
    <xf numFmtId="0" fontId="47" fillId="0" borderId="28" xfId="9" applyBorder="1"/>
    <xf numFmtId="0" fontId="47" fillId="0" borderId="27" xfId="9" applyBorder="1"/>
    <xf numFmtId="15" fontId="45" fillId="0" borderId="13" xfId="9" applyNumberFormat="1" applyFont="1" applyBorder="1"/>
    <xf numFmtId="0" fontId="46" fillId="0" borderId="10" xfId="9" applyFont="1" applyBorder="1" applyAlignment="1">
      <alignment vertical="top"/>
    </xf>
    <xf numFmtId="0" fontId="47" fillId="0" borderId="22" xfId="9" applyBorder="1"/>
    <xf numFmtId="0" fontId="47" fillId="0" borderId="11" xfId="9" applyBorder="1"/>
    <xf numFmtId="0" fontId="47" fillId="0" borderId="10" xfId="9" applyBorder="1" applyAlignment="1">
      <alignment horizontal="center"/>
    </xf>
    <xf numFmtId="9" fontId="44" fillId="32" borderId="10" xfId="10" applyFont="1" applyFill="1" applyBorder="1" applyAlignment="1">
      <alignment horizontal="right"/>
    </xf>
    <xf numFmtId="0" fontId="44" fillId="32" borderId="10" xfId="9" applyFont="1" applyFill="1" applyBorder="1" applyAlignment="1">
      <alignment horizontal="center"/>
    </xf>
    <xf numFmtId="15" fontId="42" fillId="32" borderId="10" xfId="9" applyNumberFormat="1" applyFont="1" applyFill="1" applyBorder="1"/>
    <xf numFmtId="0" fontId="43" fillId="32" borderId="10" xfId="9" applyFont="1" applyFill="1" applyBorder="1"/>
    <xf numFmtId="9" fontId="47" fillId="0" borderId="13" xfId="9" applyNumberFormat="1" applyBorder="1"/>
    <xf numFmtId="0" fontId="52" fillId="0" borderId="13" xfId="9" applyFont="1" applyBorder="1" applyAlignment="1">
      <alignment vertical="top"/>
    </xf>
    <xf numFmtId="0" fontId="47" fillId="0" borderId="13" xfId="9" applyBorder="1"/>
    <xf numFmtId="0" fontId="51" fillId="0" borderId="10" xfId="9" applyFont="1" applyBorder="1" applyAlignment="1">
      <alignment horizontal="center"/>
    </xf>
    <xf numFmtId="15" fontId="51" fillId="0" borderId="10" xfId="9" applyNumberFormat="1" applyFont="1" applyBorder="1"/>
    <xf numFmtId="0" fontId="51" fillId="0" borderId="10" xfId="9" applyFont="1" applyBorder="1"/>
    <xf numFmtId="9" fontId="48" fillId="32" borderId="10" xfId="10" applyFont="1" applyFill="1" applyBorder="1"/>
    <xf numFmtId="0" fontId="56" fillId="32" borderId="10" xfId="9" applyFont="1" applyFill="1" applyBorder="1" applyAlignment="1">
      <alignment readingOrder="1"/>
    </xf>
    <xf numFmtId="0" fontId="47" fillId="31" borderId="0" xfId="9" applyFill="1"/>
    <xf numFmtId="0" fontId="57" fillId="31" borderId="10" xfId="9" applyFont="1" applyFill="1" applyBorder="1" applyAlignment="1">
      <alignment horizontal="center" readingOrder="1"/>
    </xf>
    <xf numFmtId="0" fontId="57" fillId="31" borderId="10" xfId="9" applyFont="1" applyFill="1" applyBorder="1" applyAlignment="1">
      <alignment readingOrder="1"/>
    </xf>
    <xf numFmtId="0" fontId="55" fillId="30" borderId="7" xfId="9" applyFont="1" applyFill="1" applyBorder="1" applyAlignment="1">
      <alignment horizontal="center"/>
    </xf>
    <xf numFmtId="0" fontId="55" fillId="30" borderId="8" xfId="9" applyFont="1" applyFill="1" applyBorder="1" applyAlignment="1">
      <alignment horizontal="center"/>
    </xf>
    <xf numFmtId="0" fontId="58" fillId="0" borderId="7" xfId="9" applyFont="1" applyBorder="1" applyAlignment="1">
      <alignment horizontal="center"/>
    </xf>
    <xf numFmtId="1" fontId="47" fillId="0" borderId="0" xfId="9" applyNumberFormat="1"/>
    <xf numFmtId="164" fontId="47" fillId="0" borderId="0" xfId="9" applyNumberFormat="1" applyAlignment="1">
      <alignment horizontal="right"/>
    </xf>
    <xf numFmtId="166" fontId="58" fillId="0" borderId="7" xfId="9" applyNumberFormat="1" applyFont="1" applyBorder="1" applyAlignment="1">
      <alignment horizontal="center"/>
    </xf>
    <xf numFmtId="1" fontId="47" fillId="0" borderId="0" xfId="9" applyNumberFormat="1" applyAlignment="1">
      <alignment horizontal="right"/>
    </xf>
    <xf numFmtId="1" fontId="47" fillId="0" borderId="0" xfId="9" applyNumberFormat="1" applyAlignment="1">
      <alignment horizontal="center"/>
    </xf>
    <xf numFmtId="15" fontId="59" fillId="0" borderId="0" xfId="9" applyNumberFormat="1" applyFont="1" applyAlignment="1">
      <alignment horizontal="left"/>
    </xf>
    <xf numFmtId="0" fontId="48" fillId="0" borderId="0" xfId="9" applyFont="1" applyAlignment="1">
      <alignment horizontal="right"/>
    </xf>
    <xf numFmtId="10" fontId="47" fillId="0" borderId="0" xfId="9" applyNumberFormat="1"/>
    <xf numFmtId="15" fontId="47" fillId="0" borderId="0" xfId="9" applyNumberFormat="1" applyAlignment="1">
      <alignment horizontal="left"/>
    </xf>
    <xf numFmtId="164" fontId="48" fillId="0" borderId="0" xfId="9" applyNumberFormat="1" applyFont="1" applyAlignment="1">
      <alignment horizontal="right"/>
    </xf>
    <xf numFmtId="10" fontId="47" fillId="0" borderId="0" xfId="9" applyNumberFormat="1" applyAlignment="1">
      <alignment horizontal="left"/>
    </xf>
    <xf numFmtId="10" fontId="47" fillId="0" borderId="0" xfId="10" applyNumberFormat="1"/>
    <xf numFmtId="15" fontId="60" fillId="0" borderId="0" xfId="9" applyNumberFormat="1" applyFont="1" applyAlignment="1">
      <alignment horizontal="left"/>
    </xf>
    <xf numFmtId="165" fontId="47" fillId="0" borderId="0" xfId="9" applyNumberFormat="1"/>
    <xf numFmtId="1" fontId="61" fillId="0" borderId="0" xfId="9" applyNumberFormat="1" applyFont="1"/>
    <xf numFmtId="15" fontId="60" fillId="0" borderId="0" xfId="9" applyNumberFormat="1" applyFont="1" applyAlignment="1">
      <alignment horizontal="center"/>
    </xf>
    <xf numFmtId="1" fontId="62" fillId="0" borderId="0" xfId="9" applyNumberFormat="1" applyFont="1"/>
    <xf numFmtId="0" fontId="63" fillId="36" borderId="0" xfId="9" applyFont="1" applyFill="1"/>
    <xf numFmtId="0" fontId="47" fillId="36" borderId="0" xfId="9" applyFill="1"/>
    <xf numFmtId="0" fontId="63" fillId="36" borderId="0" xfId="9" applyFont="1" applyFill="1" applyAlignment="1">
      <alignment vertical="top"/>
    </xf>
    <xf numFmtId="0" fontId="47" fillId="36" borderId="0" xfId="9" applyFill="1" applyAlignment="1">
      <alignment horizontal="left" vertical="top"/>
    </xf>
    <xf numFmtId="0" fontId="47" fillId="35" borderId="0" xfId="9" applyFill="1"/>
    <xf numFmtId="1" fontId="61" fillId="35" borderId="0" xfId="9" applyNumberFormat="1" applyFont="1" applyFill="1"/>
    <xf numFmtId="15" fontId="60" fillId="35" borderId="0" xfId="9" applyNumberFormat="1" applyFont="1" applyFill="1" applyAlignment="1">
      <alignment horizontal="center"/>
    </xf>
    <xf numFmtId="0" fontId="47" fillId="34" borderId="0" xfId="9" applyFill="1"/>
    <xf numFmtId="0" fontId="60" fillId="0" borderId="0" xfId="9" applyFont="1"/>
    <xf numFmtId="0" fontId="48" fillId="0" borderId="0" xfId="9" applyFont="1"/>
    <xf numFmtId="0" fontId="48" fillId="0" borderId="43" xfId="8" applyBorder="1"/>
    <xf numFmtId="0" fontId="48" fillId="0" borderId="49" xfId="7" applyBorder="1">
      <alignment horizontal="left"/>
    </xf>
    <xf numFmtId="15" fontId="48" fillId="0" borderId="48" xfId="7" applyNumberFormat="1" applyBorder="1">
      <alignment horizontal="left"/>
    </xf>
    <xf numFmtId="0" fontId="48" fillId="0" borderId="48" xfId="7" applyBorder="1">
      <alignment horizontal="left"/>
    </xf>
    <xf numFmtId="0" fontId="48" fillId="0" borderId="47" xfId="7" applyBorder="1">
      <alignment horizontal="left"/>
    </xf>
    <xf numFmtId="0" fontId="47" fillId="0" borderId="37" xfId="6" applyBorder="1"/>
    <xf numFmtId="0" fontId="47" fillId="0" borderId="1" xfId="5" applyBorder="1">
      <alignment horizontal="left"/>
    </xf>
    <xf numFmtId="15" fontId="47" fillId="0" borderId="1" xfId="5" applyNumberFormat="1" applyBorder="1">
      <alignment horizontal="left"/>
    </xf>
    <xf numFmtId="0" fontId="47" fillId="0" borderId="46" xfId="5" applyBorder="1">
      <alignment horizontal="left"/>
    </xf>
    <xf numFmtId="0" fontId="47" fillId="0" borderId="39" xfId="5" applyBorder="1">
      <alignment horizontal="left"/>
    </xf>
    <xf numFmtId="0" fontId="47" fillId="0" borderId="36" xfId="5" applyBorder="1">
      <alignment horizontal="left"/>
    </xf>
    <xf numFmtId="15" fontId="47" fillId="0" borderId="35" xfId="5" applyNumberFormat="1" applyBorder="1">
      <alignment horizontal="left"/>
    </xf>
    <xf numFmtId="0" fontId="47" fillId="0" borderId="35" xfId="5" applyBorder="1">
      <alignment horizontal="left"/>
    </xf>
    <xf numFmtId="0" fontId="47" fillId="0" borderId="34" xfId="5" applyBorder="1">
      <alignment horizontal="left"/>
    </xf>
    <xf numFmtId="0" fontId="47" fillId="0" borderId="41" xfId="6" applyBorder="1"/>
    <xf numFmtId="0" fontId="47" fillId="0" borderId="45" xfId="5" applyBorder="1">
      <alignment horizontal="left"/>
    </xf>
    <xf numFmtId="15" fontId="47" fillId="0" borderId="45" xfId="5" applyNumberFormat="1" applyBorder="1">
      <alignment horizontal="left"/>
    </xf>
    <xf numFmtId="0" fontId="47" fillId="0" borderId="38" xfId="6" applyBorder="1"/>
    <xf numFmtId="0" fontId="47" fillId="0" borderId="44" xfId="5" applyBorder="1">
      <alignment horizontal="left"/>
    </xf>
    <xf numFmtId="15" fontId="47" fillId="0" borderId="44" xfId="5" applyNumberFormat="1" applyBorder="1">
      <alignment horizontal="left"/>
    </xf>
    <xf numFmtId="0" fontId="48" fillId="0" borderId="42" xfId="7" applyBorder="1">
      <alignment horizontal="left"/>
    </xf>
    <xf numFmtId="0" fontId="47" fillId="0" borderId="40" xfId="6" applyBorder="1"/>
    <xf numFmtId="0" fontId="47" fillId="0" borderId="33" xfId="4" applyBorder="1"/>
    <xf numFmtId="0" fontId="47" fillId="0" borderId="31" xfId="3" applyBorder="1"/>
    <xf numFmtId="0" fontId="47" fillId="0" borderId="32" xfId="3" applyBorder="1"/>
    <xf numFmtId="1" fontId="55" fillId="33" borderId="0" xfId="9" applyNumberFormat="1" applyFont="1" applyFill="1"/>
    <xf numFmtId="0" fontId="55" fillId="33" borderId="0" xfId="9" applyFont="1" applyFill="1"/>
    <xf numFmtId="0" fontId="55" fillId="38" borderId="0" xfId="9" applyFont="1" applyFill="1"/>
    <xf numFmtId="0" fontId="64" fillId="38" borderId="0" xfId="9" applyFont="1" applyFill="1"/>
    <xf numFmtId="167" fontId="48" fillId="39" borderId="50" xfId="9" applyNumberFormat="1" applyFont="1" applyFill="1" applyBorder="1" applyAlignment="1">
      <alignment horizontal="center"/>
    </xf>
    <xf numFmtId="3" fontId="48" fillId="39" borderId="50" xfId="9" applyNumberFormat="1" applyFont="1" applyFill="1" applyBorder="1" applyAlignment="1">
      <alignment horizontal="center"/>
    </xf>
    <xf numFmtId="0" fontId="48" fillId="39" borderId="50" xfId="9" applyFont="1" applyFill="1" applyBorder="1"/>
    <xf numFmtId="167" fontId="47" fillId="0" borderId="50" xfId="9" applyNumberFormat="1" applyBorder="1" applyAlignment="1">
      <alignment horizontal="center"/>
    </xf>
    <xf numFmtId="3" fontId="47" fillId="0" borderId="50" xfId="9" applyNumberFormat="1" applyBorder="1" applyAlignment="1">
      <alignment horizontal="center"/>
    </xf>
    <xf numFmtId="0" fontId="47" fillId="0" borderId="50" xfId="9" applyBorder="1"/>
    <xf numFmtId="0" fontId="48" fillId="37" borderId="50" xfId="9" applyFont="1" applyFill="1" applyBorder="1" applyAlignment="1">
      <alignment horizontal="center"/>
    </xf>
    <xf numFmtId="0" fontId="48" fillId="37" borderId="50" xfId="9" applyFont="1" applyFill="1" applyBorder="1"/>
    <xf numFmtId="168" fontId="48" fillId="0" borderId="50" xfId="9" applyNumberFormat="1" applyFont="1" applyBorder="1" applyAlignment="1">
      <alignment horizontal="center"/>
    </xf>
    <xf numFmtId="0" fontId="48" fillId="0" borderId="50" xfId="9" applyFont="1" applyBorder="1"/>
    <xf numFmtId="169" fontId="48" fillId="0" borderId="50" xfId="9" applyNumberFormat="1" applyFont="1" applyBorder="1" applyAlignment="1">
      <alignment horizontal="center"/>
    </xf>
    <xf numFmtId="0" fontId="65" fillId="0" borderId="0" xfId="9" applyFont="1"/>
    <xf numFmtId="0" fontId="66" fillId="0" borderId="0" xfId="9" applyFont="1"/>
    <xf numFmtId="0" fontId="67" fillId="0" borderId="0" xfId="9" applyFont="1"/>
    <xf numFmtId="0" fontId="47" fillId="0" borderId="1" xfId="9" applyBorder="1"/>
    <xf numFmtId="0" fontId="68" fillId="0" borderId="50" xfId="9" applyFont="1" applyBorder="1" applyAlignment="1">
      <alignment horizontal="center"/>
    </xf>
    <xf numFmtId="1" fontId="40" fillId="0" borderId="0" xfId="0" applyNumberFormat="1" applyFont="1"/>
    <xf numFmtId="0" fontId="59" fillId="0" borderId="0" xfId="9" applyFont="1"/>
    <xf numFmtId="0" fontId="69" fillId="28" borderId="0" xfId="9" applyFont="1" applyFill="1"/>
    <xf numFmtId="0" fontId="70" fillId="28" borderId="0" xfId="9" applyFont="1" applyFill="1"/>
    <xf numFmtId="0" fontId="48" fillId="28" borderId="0" xfId="9" applyFont="1" applyFill="1"/>
    <xf numFmtId="0" fontId="48" fillId="28" borderId="0" xfId="9" applyFont="1" applyFill="1" applyAlignment="1">
      <alignment horizontal="center"/>
    </xf>
    <xf numFmtId="0" fontId="47" fillId="28" borderId="0" xfId="9" applyFill="1"/>
    <xf numFmtId="3" fontId="47" fillId="28" borderId="0" xfId="9" applyNumberFormat="1" applyFill="1" applyAlignment="1">
      <alignment horizontal="center"/>
    </xf>
    <xf numFmtId="169" fontId="48" fillId="28" borderId="0" xfId="9" applyNumberFormat="1" applyFont="1" applyFill="1" applyAlignment="1">
      <alignment horizontal="center"/>
    </xf>
    <xf numFmtId="168" fontId="48" fillId="28" borderId="0" xfId="9" applyNumberFormat="1" applyFont="1" applyFill="1" applyAlignment="1">
      <alignment horizontal="center"/>
    </xf>
    <xf numFmtId="167" fontId="47" fillId="28" borderId="0" xfId="9" applyNumberFormat="1" applyFill="1" applyAlignment="1">
      <alignment horizontal="center"/>
    </xf>
    <xf numFmtId="3" fontId="48" fillId="28" borderId="0" xfId="9" applyNumberFormat="1" applyFont="1" applyFill="1" applyAlignment="1">
      <alignment horizontal="center"/>
    </xf>
    <xf numFmtId="167" fontId="48" fillId="28" borderId="0" xfId="9" applyNumberFormat="1" applyFont="1" applyFill="1" applyAlignment="1">
      <alignment horizontal="center"/>
    </xf>
    <xf numFmtId="3" fontId="47" fillId="0" borderId="1" xfId="9" applyNumberFormat="1" applyBorder="1"/>
    <xf numFmtId="0" fontId="72" fillId="41" borderId="53" xfId="0" applyFont="1" applyFill="1" applyBorder="1" applyAlignment="1">
      <alignment horizontal="center" vertical="center" wrapText="1"/>
    </xf>
    <xf numFmtId="0" fontId="73" fillId="42" borderId="53" xfId="0" applyFont="1" applyFill="1" applyBorder="1" applyAlignment="1">
      <alignment horizontal="center" vertical="center" wrapText="1"/>
    </xf>
    <xf numFmtId="0" fontId="73" fillId="48" borderId="53" xfId="0" applyFont="1" applyFill="1" applyBorder="1" applyAlignment="1">
      <alignment horizontal="center" vertical="center" wrapText="1"/>
    </xf>
    <xf numFmtId="0" fontId="74" fillId="48" borderId="53" xfId="0" applyFont="1" applyFill="1" applyBorder="1" applyAlignment="1">
      <alignment horizontal="center" vertical="center" wrapText="1"/>
    </xf>
    <xf numFmtId="0" fontId="72" fillId="43" borderId="53" xfId="0" applyFont="1" applyFill="1" applyBorder="1" applyAlignment="1">
      <alignment horizontal="center" vertical="center" wrapText="1"/>
    </xf>
    <xf numFmtId="0" fontId="74" fillId="0" borderId="53" xfId="0" applyFont="1" applyBorder="1" applyAlignment="1">
      <alignment horizontal="center" vertical="center" wrapText="1"/>
    </xf>
    <xf numFmtId="0" fontId="73" fillId="0" borderId="53" xfId="0" applyFont="1" applyBorder="1" applyAlignment="1">
      <alignment horizontal="center" vertical="center" wrapText="1"/>
    </xf>
    <xf numFmtId="0" fontId="75" fillId="44" borderId="53" xfId="0" applyFont="1" applyFill="1" applyBorder="1" applyAlignment="1">
      <alignment horizontal="center" vertical="center" wrapText="1"/>
    </xf>
    <xf numFmtId="0" fontId="72" fillId="45" borderId="53" xfId="0" applyFont="1" applyFill="1" applyBorder="1" applyAlignment="1">
      <alignment horizontal="center" vertical="center" wrapText="1"/>
    </xf>
    <xf numFmtId="0" fontId="72" fillId="46" borderId="53" xfId="0" applyFont="1" applyFill="1" applyBorder="1" applyAlignment="1">
      <alignment horizontal="center" vertical="center" wrapText="1"/>
    </xf>
    <xf numFmtId="0" fontId="72" fillId="47" borderId="53" xfId="0" applyFont="1" applyFill="1" applyBorder="1" applyAlignment="1">
      <alignment horizontal="center" vertical="center" wrapText="1"/>
    </xf>
    <xf numFmtId="0" fontId="76" fillId="42" borderId="53" xfId="0" applyFont="1" applyFill="1" applyBorder="1"/>
    <xf numFmtId="0" fontId="0" fillId="42" borderId="53" xfId="0" applyFill="1" applyBorder="1"/>
    <xf numFmtId="0" fontId="71" fillId="49" borderId="53" xfId="0" applyFont="1" applyFill="1" applyBorder="1" applyAlignment="1">
      <alignment horizontal="center" vertical="center" wrapText="1"/>
    </xf>
    <xf numFmtId="0" fontId="73" fillId="0" borderId="0" xfId="0" applyFont="1"/>
    <xf numFmtId="0" fontId="74" fillId="0" borderId="0" xfId="0" applyFont="1"/>
    <xf numFmtId="0" fontId="77" fillId="0" borderId="0" xfId="0" applyFont="1"/>
    <xf numFmtId="0" fontId="78" fillId="50" borderId="56" xfId="0" applyFont="1" applyFill="1" applyBorder="1" applyAlignment="1">
      <alignment horizontal="center" vertical="center"/>
    </xf>
    <xf numFmtId="0" fontId="78" fillId="51" borderId="56" xfId="0" applyFont="1" applyFill="1" applyBorder="1" applyAlignment="1">
      <alignment horizontal="center" vertical="center"/>
    </xf>
    <xf numFmtId="0" fontId="78" fillId="52" borderId="56" xfId="0" applyFont="1" applyFill="1" applyBorder="1" applyAlignment="1">
      <alignment horizontal="center" vertical="center"/>
    </xf>
    <xf numFmtId="0" fontId="78" fillId="53" borderId="56" xfId="0" applyFont="1" applyFill="1" applyBorder="1" applyAlignment="1">
      <alignment horizontal="center" vertical="center"/>
    </xf>
    <xf numFmtId="0" fontId="78" fillId="54" borderId="56" xfId="0" applyFont="1" applyFill="1" applyBorder="1" applyAlignment="1">
      <alignment horizontal="center" vertical="center"/>
    </xf>
    <xf numFmtId="0" fontId="79" fillId="55" borderId="0" xfId="0" applyFont="1" applyFill="1"/>
    <xf numFmtId="0" fontId="0" fillId="55" borderId="0" xfId="0" applyFill="1"/>
    <xf numFmtId="0" fontId="73" fillId="0" borderId="53" xfId="0" applyFont="1" applyBorder="1" applyAlignment="1">
      <alignment horizontal="right" vertical="center" wrapText="1"/>
    </xf>
    <xf numFmtId="0" fontId="32" fillId="40" borderId="56" xfId="0" applyFont="1" applyFill="1" applyBorder="1" applyAlignment="1">
      <alignment horizontal="left" vertical="center"/>
    </xf>
    <xf numFmtId="0" fontId="0" fillId="0" borderId="54" xfId="0" applyBorder="1"/>
    <xf numFmtId="0" fontId="0" fillId="0" borderId="55" xfId="0" applyBorder="1"/>
    <xf numFmtId="0" fontId="5" fillId="4" borderId="56" xfId="0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0" fillId="0" borderId="5" xfId="0" applyBorder="1"/>
    <xf numFmtId="0" fontId="1" fillId="9" borderId="56" xfId="0" applyFont="1" applyFill="1" applyBorder="1" applyAlignment="1">
      <alignment horizontal="center" vertical="center"/>
    </xf>
    <xf numFmtId="0" fontId="10" fillId="10" borderId="52" xfId="0" applyFont="1" applyFill="1" applyBorder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20" borderId="7" xfId="0" applyFont="1" applyFill="1" applyBorder="1"/>
    <xf numFmtId="0" fontId="0" fillId="0" borderId="9" xfId="0" applyBorder="1"/>
    <xf numFmtId="0" fontId="0" fillId="0" borderId="8" xfId="0" applyBorder="1"/>
    <xf numFmtId="0" fontId="23" fillId="0" borderId="7" xfId="0" applyFont="1" applyBorder="1" applyAlignment="1">
      <alignment horizontal="center"/>
    </xf>
    <xf numFmtId="0" fontId="1" fillId="25" borderId="7" xfId="0" applyFont="1" applyFill="1" applyBorder="1" applyAlignment="1">
      <alignment horizontal="center"/>
    </xf>
    <xf numFmtId="0" fontId="55" fillId="30" borderId="7" xfId="9" applyFont="1" applyFill="1" applyBorder="1" applyAlignment="1">
      <alignment horizontal="center"/>
    </xf>
    <xf numFmtId="0" fontId="58" fillId="0" borderId="7" xfId="9" applyFont="1" applyBorder="1" applyAlignment="1">
      <alignment horizontal="center"/>
    </xf>
  </cellXfs>
  <cellStyles count="11">
    <cellStyle name="Hyperlink" xfId="2" builtinId="8"/>
    <cellStyle name="Normal" xfId="0" builtinId="0"/>
    <cellStyle name="Normal 2" xfId="9" xr:uid="{00000000-0005-0000-0000-000009000000}"/>
    <cellStyle name="Percent" xfId="1" builtinId="5"/>
    <cellStyle name="Percent 2" xfId="10" xr:uid="{00000000-0005-0000-0000-00000A000000}"/>
    <cellStyle name="Pivot Table Category" xfId="5" xr:uid="{00000000-0005-0000-0000-000005000000}"/>
    <cellStyle name="Pivot Table Corner" xfId="4" xr:uid="{00000000-0005-0000-0000-000004000000}"/>
    <cellStyle name="Pivot Table Field" xfId="3" xr:uid="{00000000-0005-0000-0000-000003000000}"/>
    <cellStyle name="Pivot Table Result" xfId="8" xr:uid="{00000000-0005-0000-0000-000008000000}"/>
    <cellStyle name="Pivot Table Title" xfId="7" xr:uid="{00000000-0005-0000-0000-000007000000}"/>
    <cellStyle name="Pivot Table Value" xfId="6" xr:uid="{00000000-0005-0000-0000-000006000000}"/>
  </cellStyles>
  <dxfs count="19">
    <dxf>
      <fill>
        <patternFill>
          <bgColor theme="4" tint="0.59987182226020086"/>
        </patternFill>
      </fill>
    </dxf>
    <dxf>
      <fill>
        <patternFill>
          <bgColor rgb="FF8CA8CA"/>
        </patternFill>
      </fill>
    </dxf>
    <dxf>
      <fill>
        <patternFill>
          <bgColor theme="4" tint="-0.249977111117893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 patternType="gray0625">
          <bgColor theme="4" tint="0.39973143711661124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 patternType="gray0625">
          <bgColor theme="4" tint="0.39973143711661124"/>
        </patternFill>
      </fill>
    </dxf>
    <dxf>
      <fill>
        <patternFill>
          <bgColor theme="4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Baseline vs Current Scope (by Change Type)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summary!$R$3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cat>
            <c:strRef>
              <c:f>summary!$Q$4:$Q$8</c:f>
              <c:strCache>
                <c:ptCount val="5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  <c:pt idx="4">
                  <c:v>SAP</c:v>
                </c:pt>
              </c:strCache>
            </c:strRef>
          </c:cat>
          <c:val>
            <c:numRef>
              <c:f>summary!$R$4:$R$8</c:f>
              <c:numCache>
                <c:formatCode>General</c:formatCode>
                <c:ptCount val="5"/>
                <c:pt idx="0">
                  <c:v>87</c:v>
                </c:pt>
                <c:pt idx="1">
                  <c:v>37</c:v>
                </c:pt>
                <c:pt idx="2">
                  <c:v>6</c:v>
                </c:pt>
                <c:pt idx="3">
                  <c:v>2</c:v>
                </c:pt>
                <c:pt idx="4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DB7-45CB-A035-AD6D236E4755}"/>
            </c:ext>
          </c:extLst>
        </c:ser>
        <c:ser>
          <c:idx val="1"/>
          <c:order val="1"/>
          <c:tx>
            <c:strRef>
              <c:f>summary!$S$3</c:f>
              <c:strCache>
                <c:ptCount val="1"/>
                <c:pt idx="0">
                  <c:v>Added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cat>
            <c:strRef>
              <c:f>summary!$Q$4:$Q$8</c:f>
              <c:strCache>
                <c:ptCount val="5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  <c:pt idx="4">
                  <c:v>SAP</c:v>
                </c:pt>
              </c:strCache>
            </c:strRef>
          </c:cat>
          <c:val>
            <c:numRef>
              <c:f>summary!$S$4:$S$8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DB7-45CB-A035-AD6D236E4755}"/>
            </c:ext>
          </c:extLst>
        </c:ser>
        <c:ser>
          <c:idx val="2"/>
          <c:order val="2"/>
          <c:tx>
            <c:strRef>
              <c:f>summary!$T$3</c:f>
              <c:strCache>
                <c:ptCount val="1"/>
                <c:pt idx="0">
                  <c:v>Split</c:v>
                </c:pt>
              </c:strCache>
            </c:strRef>
          </c:tx>
          <c:spPr>
            <a:solidFill>
              <a:srgbClr val="9BBB59"/>
            </a:solidFill>
            <a:ln>
              <a:noFill/>
              <a:prstDash val="solid"/>
            </a:ln>
          </c:spPr>
          <c:invertIfNegative val="1"/>
          <c:cat>
            <c:strRef>
              <c:f>summary!$Q$4:$Q$8</c:f>
              <c:strCache>
                <c:ptCount val="5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  <c:pt idx="4">
                  <c:v>SAP</c:v>
                </c:pt>
              </c:strCache>
            </c:strRef>
          </c:cat>
          <c:val>
            <c:numRef>
              <c:f>summary!$T$4:$T$8</c:f>
              <c:numCache>
                <c:formatCode>General</c:formatCode>
                <c:ptCount val="5"/>
                <c:pt idx="0">
                  <c:v>0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DB7-45CB-A035-AD6D236E4755}"/>
            </c:ext>
          </c:extLst>
        </c:ser>
        <c:ser>
          <c:idx val="3"/>
          <c:order val="3"/>
          <c:tx>
            <c:strRef>
              <c:f>summary!$U$3</c:f>
              <c:strCache>
                <c:ptCount val="1"/>
                <c:pt idx="0">
                  <c:v>Moved</c:v>
                </c:pt>
              </c:strCache>
            </c:strRef>
          </c:tx>
          <c:spPr>
            <a:solidFill>
              <a:srgbClr val="8064A2"/>
            </a:solidFill>
            <a:ln>
              <a:noFill/>
              <a:prstDash val="solid"/>
            </a:ln>
          </c:spPr>
          <c:invertIfNegative val="1"/>
          <c:cat>
            <c:strRef>
              <c:f>summary!$Q$4:$Q$8</c:f>
              <c:strCache>
                <c:ptCount val="5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  <c:pt idx="4">
                  <c:v>SAP</c:v>
                </c:pt>
              </c:strCache>
            </c:strRef>
          </c:cat>
          <c:val>
            <c:numRef>
              <c:f>summary!$U$4:$U$8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DB7-45CB-A035-AD6D236E4755}"/>
            </c:ext>
          </c:extLst>
        </c:ser>
        <c:ser>
          <c:idx val="4"/>
          <c:order val="4"/>
          <c:tx>
            <c:strRef>
              <c:f>summary!$V$3</c:f>
              <c:strCache>
                <c:ptCount val="1"/>
                <c:pt idx="0">
                  <c:v>Removed</c:v>
                </c:pt>
              </c:strCache>
            </c:strRef>
          </c:tx>
          <c:spPr>
            <a:solidFill>
              <a:srgbClr val="4BACC6"/>
            </a:solidFill>
            <a:ln>
              <a:noFill/>
              <a:prstDash val="solid"/>
            </a:ln>
          </c:spPr>
          <c:invertIfNegative val="1"/>
          <c:cat>
            <c:strRef>
              <c:f>summary!$Q$4:$Q$8</c:f>
              <c:strCache>
                <c:ptCount val="5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  <c:pt idx="4">
                  <c:v>SAP</c:v>
                </c:pt>
              </c:strCache>
            </c:strRef>
          </c:cat>
          <c:val>
            <c:numRef>
              <c:f>summary!$V$4:$V$8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DB7-45CB-A035-AD6D236E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Item Count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25400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Scope by Module: Baseline vs Current (items)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dashboard!$B$26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8EA9D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dashboard!$A$27:$A$30</c:f>
              <c:strCache>
                <c:ptCount val="4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</c:strCache>
            </c:strRef>
          </c:cat>
          <c:val>
            <c:numRef>
              <c:f>dashboard!$B$27:$B$30</c:f>
              <c:numCache>
                <c:formatCode>General</c:formatCode>
                <c:ptCount val="4"/>
                <c:pt idx="0">
                  <c:v>87</c:v>
                </c:pt>
                <c:pt idx="1">
                  <c:v>37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40-4BD8-8555-CFC849D9E5C7}"/>
            </c:ext>
          </c:extLst>
        </c:ser>
        <c:ser>
          <c:idx val="1"/>
          <c:order val="1"/>
          <c:tx>
            <c:strRef>
              <c:f>dashboard!$C$26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dashboard!$A$27:$A$30</c:f>
              <c:strCache>
                <c:ptCount val="4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</c:strCache>
            </c:strRef>
          </c:cat>
          <c:val>
            <c:numRef>
              <c:f>dashboard!$C$27:$C$30</c:f>
              <c:numCache>
                <c:formatCode>General</c:formatCode>
                <c:ptCount val="4"/>
                <c:pt idx="0">
                  <c:v>90</c:v>
                </c:pt>
                <c:pt idx="1">
                  <c:v>56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40-4BD8-8555-CFC849D9E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83776"/>
        <c:axId val="1228773840"/>
      </c:barChart>
      <c:catAx>
        <c:axId val="11866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73840"/>
        <c:crosses val="autoZero"/>
        <c:auto val="1"/>
        <c:lblAlgn val="ctr"/>
        <c:lblOffset val="100"/>
        <c:noMultiLvlLbl val="0"/>
      </c:catAx>
      <c:valAx>
        <c:axId val="12287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837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vs Baseline, by type (items)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dashboard!$F$26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rgbClr val="C55A1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dashboard!$E$27:$E$31</c:f>
              <c:strCache>
                <c:ptCount val="5"/>
                <c:pt idx="0">
                  <c:v>Added (new scope)</c:v>
                </c:pt>
                <c:pt idx="1">
                  <c:v>Broken down (re-planned)</c:v>
                </c:pt>
                <c:pt idx="2">
                  <c:v>Moved to another sprint</c:v>
                </c:pt>
                <c:pt idx="3">
                  <c:v>Removed</c:v>
                </c:pt>
                <c:pt idx="4">
                  <c:v>Sap</c:v>
                </c:pt>
              </c:strCache>
            </c:strRef>
          </c:cat>
          <c:val>
            <c:numRef>
              <c:f>dashboard!$F$27:$F$31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</c:v>
                </c:pt>
                <c:pt idx="4" formatCode="#,##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2-490F-BEE0-1BBC97596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650352"/>
        <c:axId val="1228770480"/>
      </c:barChart>
      <c:catAx>
        <c:axId val="140665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70480"/>
        <c:crosses val="autoZero"/>
        <c:auto val="1"/>
        <c:lblAlgn val="ctr"/>
        <c:lblOffset val="100"/>
        <c:noMultiLvlLbl val="0"/>
      </c:catAx>
      <c:valAx>
        <c:axId val="122877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65035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Scope by Module: Baseline vs Current (items)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v2'!$B$26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rgbClr val="8EA9DB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v2'!$A$27:$A$30</c:f>
              <c:strCache>
                <c:ptCount val="4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</c:strCache>
            </c:strRef>
          </c:cat>
          <c:val>
            <c:numRef>
              <c:f>'dashboard v2'!$B$27:$B$30</c:f>
              <c:numCache>
                <c:formatCode>General</c:formatCode>
                <c:ptCount val="4"/>
                <c:pt idx="0">
                  <c:v>87</c:v>
                </c:pt>
                <c:pt idx="1">
                  <c:v>37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0-45A7-BD22-DFCD076AF788}"/>
            </c:ext>
          </c:extLst>
        </c:ser>
        <c:ser>
          <c:idx val="1"/>
          <c:order val="1"/>
          <c:tx>
            <c:strRef>
              <c:f>'dashboard v2'!$C$26</c:f>
              <c:strCache>
                <c:ptCount val="1"/>
                <c:pt idx="0">
                  <c:v>Current</c:v>
                </c:pt>
              </c:strCache>
            </c:strRef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v2'!$A$27:$A$30</c:f>
              <c:strCache>
                <c:ptCount val="4"/>
                <c:pt idx="0">
                  <c:v>asm</c:v>
                </c:pt>
                <c:pt idx="1">
                  <c:v>rca</c:v>
                </c:pt>
                <c:pt idx="2">
                  <c:v>ui improvement</c:v>
                </c:pt>
                <c:pt idx="3">
                  <c:v>handover</c:v>
                </c:pt>
              </c:strCache>
            </c:strRef>
          </c:cat>
          <c:val>
            <c:numRef>
              <c:f>'dashboard v2'!$C$27:$C$30</c:f>
              <c:numCache>
                <c:formatCode>General</c:formatCode>
                <c:ptCount val="4"/>
                <c:pt idx="0">
                  <c:v>90</c:v>
                </c:pt>
                <c:pt idx="1">
                  <c:v>56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0-45A7-BD22-DFCD076AF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683776"/>
        <c:axId val="1228773840"/>
      </c:barChart>
      <c:catAx>
        <c:axId val="11866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73840"/>
        <c:crosses val="autoZero"/>
        <c:auto val="1"/>
        <c:lblAlgn val="ctr"/>
        <c:lblOffset val="100"/>
        <c:noMultiLvlLbl val="0"/>
      </c:catAx>
      <c:valAx>
        <c:axId val="122877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837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 vs Baseline, by type (items)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v2'!$F$26</c:f>
              <c:strCache>
                <c:ptCount val="1"/>
                <c:pt idx="0">
                  <c:v>Items</c:v>
                </c:pt>
              </c:strCache>
            </c:strRef>
          </c:tx>
          <c:spPr>
            <a:solidFill>
              <a:srgbClr val="C55A1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v2'!$E$27:$E$30</c:f>
              <c:strCache>
                <c:ptCount val="4"/>
                <c:pt idx="0">
                  <c:v>Added (new scope)</c:v>
                </c:pt>
                <c:pt idx="1">
                  <c:v>Broken down (re-planned)</c:v>
                </c:pt>
                <c:pt idx="2">
                  <c:v>Moved to another sprint</c:v>
                </c:pt>
                <c:pt idx="3">
                  <c:v>Removed</c:v>
                </c:pt>
              </c:strCache>
            </c:strRef>
          </c:cat>
          <c:val>
            <c:numRef>
              <c:f>'dashboard v2'!$F$27:$F$30</c:f>
              <c:numCache>
                <c:formatCode>General</c:formatCode>
                <c:ptCount val="4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9-4A0A-8C27-EDE09505D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6650352"/>
        <c:axId val="1228770480"/>
      </c:barChart>
      <c:catAx>
        <c:axId val="1406650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770480"/>
        <c:crosses val="autoZero"/>
        <c:auto val="1"/>
        <c:lblAlgn val="ctr"/>
        <c:lblOffset val="100"/>
        <c:noMultiLvlLbl val="0"/>
      </c:catAx>
      <c:valAx>
        <c:axId val="122877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65035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44450</xdr:rowOff>
    </xdr:from>
    <xdr:ext cx="7920000" cy="5918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4</xdr:row>
      <xdr:rowOff>85725</xdr:rowOff>
    </xdr:from>
    <xdr:to>
      <xdr:col>2</xdr:col>
      <xdr:colOff>1943100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</xdr:row>
      <xdr:rowOff>101600</xdr:rowOff>
    </xdr:from>
    <xdr:to>
      <xdr:col>6</xdr:col>
      <xdr:colOff>504825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4</xdr:row>
      <xdr:rowOff>85725</xdr:rowOff>
    </xdr:from>
    <xdr:to>
      <xdr:col>2</xdr:col>
      <xdr:colOff>1943100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</xdr:row>
      <xdr:rowOff>101600</xdr:rowOff>
    </xdr:from>
    <xdr:to>
      <xdr:col>6</xdr:col>
      <xdr:colOff>504825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528903009261" createdVersion="8" refreshedVersion="8" minRefreshableVersion="3" recordCount="162" xr:uid="{00000000-000A-0000-FFFF-FFFF07000000}">
  <cacheSource type="worksheet">
    <worksheetSource ref="A1:K163" sheet="baseline v4"/>
  </cacheSource>
  <cacheFields count="11">
    <cacheField name="Module" numFmtId="0">
      <sharedItems containsBlank="1" count="6">
        <s v="asm"/>
        <s v="rca"/>
        <s v="ui improvement"/>
        <s v="handover"/>
        <s v="sap" u="1"/>
        <m u="1"/>
      </sharedItems>
    </cacheField>
    <cacheField name="Feature Name" numFmtId="0">
      <sharedItems containsBlank="1" count="14">
        <s v="revision"/>
        <s v="cmms"/>
        <s v="ai"/>
        <s v="Case creation - Create/Edit Analysis"/>
        <m/>
        <s v="case approval"/>
        <s v="Report"/>
        <s v="RCA Dashboard."/>
        <s v="User Management"/>
        <s v="Noti Email"/>
        <s v="Requirement &amp; Design"/>
        <s v="Implementation, Testing, and Deploy"/>
        <s v="Document"/>
        <s v="Knowledge Transfer"/>
      </sharedItems>
    </cacheField>
    <cacheField name="User Story ID" numFmtId="0">
      <sharedItems containsBlank="1"/>
    </cacheField>
    <cacheField name="User Story Description" numFmtId="0">
      <sharedItems count="160">
        <s v="[Improvement][Home][GeneralDetails] My Tasks - Add checked Group Permission for Waiting for Approval Box."/>
        <s v="[ASM][AssetStrategy] Email Notification Message - Template 2 (Review)"/>
        <s v="[Improvement][ASM][AssetStrategy][RisksAndTasks] Risk Details - Add Description for Failure Impact + Change Field Name"/>
        <s v="[Improvement][ASM][AssetStrategy] Strategies Table List V3. - Add column"/>
        <s v="[ASM][AssetStrategy] Integrate FDP (GCP) - [BE]"/>
        <s v="[Improvement][ASM][AssetStrategy][RisksAndTasks] Risk/Task Panel - Change Icon Yellow Alert to Arrow Icon + Abbreviate Interval + SCE Tag"/>
        <s v="[ASM] Apply a consistent design standard to all action buttons. [FE]"/>
        <s v="[Improvement][ASM][AssetStrategy] All Table List - Change Design the shown numbers as total, select items, filter results"/>
        <s v="[ASM][AssetStrategy][Revisions] Revision Details - Strategy Summary - Tab Summary"/>
        <s v="[ASM][AssetStrategy][Revisions] Revision Details - Strategy Summary - Tab Details"/>
        <s v="[ASM][AssetStrategy][Revisions] Revision Details - Risks and Tasks"/>
        <s v="[ASM][AssetStrategy][Revisions] Revision Details - Risks Details"/>
        <s v="[ASM][AssetStrategy][Revisions] Revision Details - Task Details"/>
        <s v="[ASM][AssetStrategy][Revisions] Revision Details - Risk Analysis"/>
        <s v="[ASM][AssetStrategy][Revisions] Revision Details - Maintenance Plans"/>
        <s v="[ASM][AssetStrategy] Trigger an update for all data retrieved from GCP. (Location, FDP, Maintenance Plan, ...)"/>
        <s v="[Improvement][Home][GeneralDetails] My Task - Apply standard design for table list"/>
        <s v="[Improvement][Admin] User Management - Apply standard design for table list"/>
        <s v="[Improvement][ASM][AssetStrategy][MaintenancePlan] Maintenance Plan table list - Apply standard design for table list"/>
        <s v="[Improvement][ASM][AssetStrategy] Strategy Table list - Apply standard design for table list"/>
        <s v="[Improvement][ASM][AssetStrategy][Revision] Revision Table list - Apply standard design for table list"/>
        <s v="[Improvement][ASM][AssetStrategy][Overview] Risk Matrix by Active Strategy Table list - Apply standard design for table list"/>
        <s v="[Improvement][ASM][AssetStrategy] Table List - Searching and Sorting field Unmitigated Matrix, Mitigated Matrix"/>
        <s v="[Improvement][ASM][AssetStrategy] Excel Template File V4. #1"/>
        <s v="[Improvement][ASM][AssetStrategy] Excel Template File V4. #2"/>
        <s v="[Improvement][ASM][AssetStrategy][MaintenancePlans] Table List - Add dropdown &quot;Work Center&quot;"/>
        <s v="[Improvement][ASM][AssetStrategy][RisksAndTasks] Task Details V3."/>
        <s v="[Improvement][FE][ASM][RisksAndTasks] Risk Property - Add more suggestion to 3M, 6M, 12M, 18M, 24M"/>
        <s v="[Improvement][ASM][RisksAndTasks] - Risk Detail / Task Detail - Add more suggestion"/>
        <s v="[Improvement][ASM][AssetStrategy][RisksAndTasks] Risk Details - Change Logic"/>
        <s v="[Improvement][ASM][AssetStrategy][RisksAndTasks] Task Details - Set default ROI to &quot;-1&quot;"/>
        <s v="[Improvement][ASM][AssetStrategy][SummaryDetails] Change default &quot;Plant Length =20&quot;"/>
        <s v="[ASM][AssetStrategy][MaintenancePlans] Integrate SAP - Mock Test JSON"/>
        <s v="[ASM][AssetStrategy][MaintenancePlans] Table List - Submit Change Request Flow"/>
        <s v="[ASM][AssetStrategy][MaintenancePlans] Submit Change Request - Summary Action"/>
        <s v="[ASM][AssetStrategy][MaintenancePlans] Submit Change Request - Summary Action - Export Excel"/>
        <s v="[ASM][AssetStrategy][MaintenancePlans] Integrate SAP - Mock Test JSON #2"/>
        <s v="[Improvement][ASM][AssetStrategy][MaintenancePlan] Converted interval value K = 000H"/>
        <s v="[ASM][AssetStrategy][MaintenancePlans] Submit Change Request Form - CMMS Change Request Form (RequestInfo) #1"/>
        <s v="[ASM][AssetStrategy][MaintenancePlans] Submit Change Request Form - CMMS Change Request Form (MaintenancePlanItem) #1"/>
        <s v="[ASM][AssetStrategy][MaintenancePlans] Submit Change Request Form - CMMS Change Request Form (MaintenancePlanItem) #2"/>
        <s v="[ASM][AssetStrategy][MaintenancePlans] Submit Change Request Form - CMMS Change Request Form (MaintenancePlanItem) #3"/>
        <s v="[ASM][AssetStrategy][MaintenancePlans] Submit Change Request Form - CMMS Change Request Form (MaintenancePlanItem) - Add/Duplicate/Delete row"/>
        <s v="[Improvement][ASM][AssetStrategy][RisksAndTasks] Scale Bar - Icon U / M"/>
        <s v="[ASM][AssetStrategy][MaintenancePlans] Submit Change Request Form - CMMS Change Request Form (ObjectList) + Add/Duplicate/Delete row"/>
        <s v="[ASM][AssetStrategy][MaintenancePlans] Submit Change Request Form - CMMS Change Request Form (TaskListHeader) #1"/>
        <s v="[ASM][AssetStrategy][MaintenancePlans] Submit Change Request Form - CMMS Change Request Form (TaskListHeader) #2"/>
        <s v="[ASM][AssetStrategy][MaintenancePlans] Submit Change Request Form - CMMS Change Request Form (TaskListHeader) - Add/Duplicate/Delete row"/>
        <s v="[ASM][AssetStrategy][MaintenancePlans] Submit Change Request Form - CMMS Change Request Form (TaskListOperation) #1"/>
        <s v="[ASM][AssetStrategy][MaintenancePlans] Submit Change Request Form - CMMS Change Request Form (TaskListOperation) #2"/>
        <s v="[ASM][AssetStrategy][MaintenancePlans] Submit Change Request Form - CMMS Change Request Form (TaskListOperation) - Add/Duplicate/Delete row"/>
        <s v="[ASM][AssetStrategy][MaintenancePlans] Submit Change Request - CMMS Form(PreFilled) - MaintenancePlanItem - Case: Add New Sub"/>
        <s v="[ASM][AssetStrategy][MaintenancePlans] Submit Change Request Form - CMMS Change Request Form (TaskListHeader) - Add New Sub"/>
        <s v="[ASM][AssetStrategy][MaintenancePlans] Submit Change Request Form - CMMS Change Request Form (TaskListOperation) - Add New Sub"/>
        <s v="[ASM][AssetStrategy][MaintenancePlans] Table List - Add logic to &quot;Request Sub.&quot;"/>
        <s v="[ASM][AssetStrategy][MaintenancePlans] Submit Change Request Form - CMMS Change Request Form (AttachJobCard)"/>
        <s v="[ASM][AssetStrategy][MaintenancePlans] Submit Change Request Form - Strategy Preview - Initial + Before"/>
        <s v="[ASM][AssetStrategy][MaintenancePlans] Submit Change Request Form - Strategy Preview - After"/>
        <s v="[ASM][AssetStrategy][MaintenancePlans] Submit Change Request Form - Strategy Preview - Related Strategy"/>
        <s v="[ASM][AssetStrategy][MaintenancePlans] Submit Change Request Form - Strategy Preview - Calculate Summary Interval"/>
        <s v="[FE][POC][ASM][AssetStrategy][MaintenancePlan] POC CMMS Final Form - UI Screen + Export Excel"/>
        <s v="[FE][Improvement][ASM][AssetStrategy][MaintenancePlans] Table List - Add logic to &quot;Work Center&quot; field"/>
        <s v="[ASM][AssetStrategy][MaintenancePlan] CMMS Form Final  - tap Finalized - Initial + Request Info"/>
        <s v="[ASM][AssetStrategy][MaintenancePlan] CMMS Form Final  - tap Finalized - Maintenance Plan Item"/>
        <s v="[ASM][AssetStrategy][MaintenancePlan] CMMS Form Final  - tap Finalized - Maintenance Item (Object List)"/>
        <s v="[ASM][AssetStrategy][MaintenancePlan] CMMS Form Final  - tap Finalized - Task List (Header)"/>
        <s v="[ASM][AssetStrategy][MaintenancePlan] CMMS Form Final  - tap Finalized - Task List (Operation)"/>
        <s v="[ASM][AssetStrategy][MaintenancePlan] CMMS Form Final  - tap Finalized - Attach Job Card"/>
        <s v="[ASM][AssetStrategy][MaintenancePlan] CMMS Form Final - save data to APM DB"/>
        <s v="[ASM][AssetStrategy][MaintenancePlan] CMMS Form Final  - &quot;Submit / Back&quot; Button"/>
        <s v="[BE][ASM][AssetStrategy] Sync all &quot;ASM Strategies&quot; to GCP"/>
        <s v="[ASM][AssetStrategy] ASM Data Migration"/>
        <s v="[FE][RCA] POC powerpoint"/>
        <s v="[ASM] Update schema follow s4AHANA format"/>
        <s v="[ASM][AssetStrategy][MaintenancePlans] Integrate SAP "/>
        <s v="[Improvement][ASM][AssetStrategy][MaintenancePlans] Table List - After Submit CMMS - Add logic Submit button"/>
        <s v="[POC][FE][RCA] Logic Tree - Diagram"/>
        <s v="[Improvement][ASM][FE] Abbreviate number when exceeding digit threshold"/>
        <s v="[Improvement][ASM][BE] tuning performance Graph"/>
        <s v="[ASM][SAP] add temporary trigger button for test retry SAP failed - call api schedule SAP"/>
        <s v="[Improvement][AssetStrategy][CMMS] Add column “SCE Group” + Prefill Operation Short Text + Add K logic"/>
        <s v="[ASM][AssetStrategy][MaintenancePlans] Table List - Change Request No. - Hyperlink - modal Final, SG preview, related SG"/>
        <s v="[ASM][AssetStrategy][MaintenancePlans] Submit Change Request Form - CMMS Form Final - Export Excel Finalized"/>
        <s v="[ASM][AssetStrategy][CMMS] CMMS History Log - table + click button + Overview"/>
        <s v="[ASM][AssetStrategy][CMMS] CMMS History Log - Click Hyperlink - View CMMS Final Form Details"/>
        <s v="[ASM][AssetStrategy][CMMS] CMMS History Log - table - Export Excel (Submitted Final Form)"/>
        <s v="[ASM][AssetStrategy][CMMS] CMMS History Log - table - Export Excel Table View"/>
        <s v="[RCA] Initial Layout"/>
        <s v="[RCA][createNewAnalysis] modal input Case name &gt;&gt; save draft"/>
        <s v="[RCA][Dashboard] RCA Analysis (All) - table list"/>
        <s v="[RCA][createNewAnalysis] Common Header"/>
        <s v="[ASM][FE] Upgrade Version Angular"/>
        <s v="[ASM] Sustainable Tuning for support 2-3x or more data"/>
        <s v="[Improvement][SAP] change toast error message after submit CMMS"/>
        <s v="[Improvement][SAP] Error Handling from SAP response"/>
        <s v="[RCA][createNewAnalysis] Team Member "/>
        <s v="[RCA][createNewAnalysis] Case Background"/>
        <s v="[RCA][createNewAnalysis] Problem Analysis"/>
        <s v="[RCA][createNewAnalysis] Incident Timeline "/>
        <s v="[Improvement][ASM][CMMS] Submit CMMS -  Add PackageNo not found page"/>
        <s v="[Improvement][ASM][CMMS] Submit CMMS - Change logic field &quot;Updated Field&quot;"/>
        <s v="[Improvement][ASM][AssetStrategy][Revision] disabled icon restore"/>
        <s v="[Improvement][ASM][BE+FE] Abbreviate number when exceeding digit threshold "/>
        <s v="[RCA][createNewAnalysis] Incident Timeline - Export PDF "/>
        <s v="[ASM][AssetStrategy][RisksAndTasks] Risk tap Details - Integrate AI Suggestion"/>
        <s v="[RCA][createNewAnalysis] Finding"/>
        <s v="[RCA][createNewAnalysis] Logic Tree"/>
        <s v="[RCA][createNewAnalysis] Logic Tree - Box Details"/>
        <s v="[RCA][createNewAnalysis] Logic Tree - Box Details - Actions"/>
        <s v="[RCA][createNewAnalysis] Verification Action"/>
        <s v="[RCA][createNewAnalysis] Verification Action - Noti"/>
        <s v="[RCA][createNewAnalysis] RCA Recommendations"/>
        <s v="[RCA][createNewAnalysis] Other Recommendations"/>
        <s v="[RCA][createNewAnalysis] Reference Document - Table 1"/>
        <s v="[RCA][createNewAnalysis] Reference Document - Table 2"/>
        <s v="[Improvement][MaintenancePlan][SAP] Integrate S4HANA - (B1)"/>
        <s v="[Improvement][RCA][createNewAnalysis] change source of PTTEP Risk Matrix + Add last updated date"/>
        <s v="[Improvement][RCA][createNewAnalysis] Verification Actions - Table List - allow assigned group email from azure + add column &quot;Last Updated by&quot;"/>
        <s v="[RCA] Sharepoint Structure"/>
        <s v="[Improvement][RCA][createNewAnalysis] add asset when create new RCA + add validate input format &quot;RCA Case Name&quot;"/>
        <s v="[Improvement][RCA][FE][createNewAnalysis] change save button name + change placeholder"/>
        <s v="[ServerError] HTTP Status Error 5xx"/>
        <s v="[RCA][createNewAnalysis] Executive Summary"/>
        <s v="[RCA][Approval Flow] Case Approval - Approval detail + progress - Fa view"/>
        <s v="[RCA][Approval Flow] Case Approval - Approval detail + progress - approver view"/>
        <s v="[Improvement][RCA][createNewAnalysis] Logic Tree - Main diagram"/>
        <s v="[Improvement][RCA][createNewAnalysis] Add validation - Folder Name in Sharepoint"/>
        <s v="[RCA][Approval Flow] Case Approval - Approval detail + progress - viewer"/>
        <s v="[RCA][Approval Flow] Case Approval - Approval Progress - Super User view"/>
        <s v="[RCA][Approval Flow] Case Approval - Approval History"/>
        <s v="[RCA][Approval Flow] Case Approval - Noti Email - Inform"/>
        <s v="[RCA] Export Report"/>
        <s v="[RCA][Approval Flow] RCA Approval Tracking modal - Structure"/>
        <s v="[RCA][Approval Flow] Case Status - Permission"/>
        <s v="[RCA][UserManagement] Master Data Setting &quot;RCA Type&quot;"/>
        <s v="[RCA][Approval Flow] Submit RCA Case - “Start Investigation” button"/>
        <s v="[RCA][createNewAnalysis] Executive Summary - Design Request/Response JSON for AI"/>
        <s v="[RCA] Add Permission to all pages in RCA"/>
        <s v="[RCA][Approval Flow] Submit RCA Case - Flow Start Investigation"/>
        <s v="[RCA][Approval Flow] Submit RCA Case - Waiting Verification"/>
        <s v="[RCA][Approval Flow] Submit RCA Case - Approve"/>
        <s v="[RCA][Approval Flow] Submit RCA Case - Implementing Action and Complete"/>
        <s v="[RCA] Export Report - ppt &gt;&gt; PDF"/>
        <s v="[RCA][createNewAnalysis] Dash Board - Graph"/>
        <s v="[RCA][createNewAnalysis] Dash Board - Table List - RCA Analysis(All)"/>
        <s v="[RCA][createNewAnalysis] Dash Board - Table List - RCA Verification (Pending)"/>
        <s v="[RCA][createNewAnalysis] Dash Board - Table List - RCA Recommendation (Pending) "/>
        <s v="[RCA][UserAccount] User Management - Role&amp;Permissions - Azure"/>
        <s v="[RCA][UserAccount] User Management - Role&amp;Permissions - Approval Flow - Add input setting"/>
        <s v="[RCA][UserAccount] User Management - Role&amp;Permissions - Approval Flow - display"/>
        <s v="[RCA] Notification Email - Monthly 16th "/>
        <s v="[RCA] Notification Email - Monthly 1st"/>
        <s v="design and feedback loop #1"/>
        <s v="design and feedback loop #2"/>
        <s v="implement, deploy, and testing #1"/>
        <s v="implement, deploy, and testing #2"/>
        <s v="implement, deploy, and testing #3"/>
        <s v="implement, deploy, and testing #4"/>
        <s v="[Document] system and user manual, sonaqube result"/>
        <s v="[KT] knowledge transfer "/>
      </sharedItems>
    </cacheField>
    <cacheField name="Sprint" numFmtId="0">
      <sharedItems containsSemiMixedTypes="0" containsString="0" containsNumber="1" containsInteger="1" minValue="18" maxValue="43"/>
    </cacheField>
    <cacheField name="start" numFmtId="15">
      <sharedItems containsSemiMixedTypes="0" containsNonDate="0" containsDate="1" containsString="0" minDate="2026-01-05T00:00:00" maxDate="2026-12-15T00:00:00"/>
    </cacheField>
    <cacheField name="end" numFmtId="15">
      <sharedItems containsSemiMixedTypes="0" containsNonDate="0" containsDate="1" containsString="0" minDate="2026-01-09T00:00:00" maxDate="2026-12-26T00:00:00"/>
    </cacheField>
    <cacheField name="Status (1=Done, 0=Progress)" numFmtId="1">
      <sharedItems containsSemiMixedTypes="0" containsString="0" containsNumber="1" containsInteger="1" minValue="0" maxValue="1"/>
    </cacheField>
    <cacheField name="Is Baseline" numFmtId="1">
      <sharedItems containsBlank="1" count="4">
        <s v="baseline"/>
        <m/>
        <s v="add on" u="1"/>
        <s v="remove" u="1"/>
      </sharedItems>
    </cacheField>
    <cacheField name="Change Type" numFmtId="0">
      <sharedItems containsBlank="1" count="6">
        <m/>
        <s v="moved"/>
        <s v="added"/>
        <s v="removed"/>
        <s v="split"/>
        <s v="moved "/>
      </sharedItems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475795254628" createdVersion="8" refreshedVersion="8" minRefreshableVersion="3" recordCount="162" xr:uid="{00000000-000A-0000-FFFF-FFFF06000000}">
  <cacheSource type="worksheet">
    <worksheetSource name="tb_baseline"/>
  </cacheSource>
  <cacheFields count="8">
    <cacheField name="Module" numFmtId="0">
      <sharedItems containsBlank="1" count="5">
        <s v="asm"/>
        <s v="rca"/>
        <m/>
        <s v="ui improvement"/>
        <s v="handover"/>
      </sharedItems>
    </cacheField>
    <cacheField name="Feature Name" numFmtId="0">
      <sharedItems containsBlank="1" count="17">
        <s v="revision"/>
        <s v="cmms"/>
        <s v="ai"/>
        <s v="Case creation - Create/Edit Analysis"/>
        <m/>
        <s v="case approval"/>
        <s v="Report"/>
        <s v="RCA Dashboard."/>
        <s v="User Management"/>
        <s v="Noti Email"/>
        <s v="Requirement &amp; Design"/>
        <s v="Implementation, Testing, and Deploy"/>
        <s v="Document"/>
        <s v="Knowledge Transfer"/>
        <s v="design" u="1"/>
        <s v="implement" u="1"/>
        <s v="handover and kt" u="1"/>
      </sharedItems>
    </cacheField>
    <cacheField name="User Story ID" numFmtId="0">
      <sharedItems containsBlank="1"/>
    </cacheField>
    <cacheField name="User Story Description" numFmtId="0">
      <sharedItems/>
    </cacheField>
    <cacheField name="Sprint" numFmtId="0">
      <sharedItems containsSemiMixedTypes="0" containsString="0" containsNumber="1" containsInteger="1" minValue="18" maxValue="43" count="26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" numFmtId="15">
      <sharedItems containsSemiMixedTypes="0" containsNonDate="0" containsDate="1" containsString="0" minDate="2026-01-05T00:00:00" maxDate="2026-12-15T00:00:00" count="26">
        <d v="2026-01-05T00:00:00"/>
        <d v="2026-01-12T00:00:00"/>
        <d v="2026-01-26T00:00:00"/>
        <d v="2026-02-09T00:00:00"/>
        <d v="2026-02-23T00:00:00"/>
        <d v="2026-03-09T00:00:00"/>
        <d v="2026-03-23T00:00:00"/>
        <d v="2026-04-06T00:00:00"/>
        <d v="2026-04-20T00:00:00"/>
        <d v="2026-05-04T00:00:00"/>
        <d v="2026-05-18T00:00:00"/>
        <d v="2026-06-01T00:00:00"/>
        <d v="2026-06-15T00:00:00"/>
        <d v="2026-06-29T00:00:00"/>
        <d v="2026-07-13T00:00:00"/>
        <d v="2026-07-27T00:00:00"/>
        <d v="2026-08-10T00:00:00"/>
        <d v="2026-08-24T00:00:00"/>
        <d v="2026-09-07T00:00:00"/>
        <d v="2026-09-21T00:00:00"/>
        <d v="2026-10-05T00:00:00"/>
        <d v="2026-10-19T00:00:00"/>
        <d v="2026-11-02T00:00:00"/>
        <d v="2026-11-16T00:00:00"/>
        <d v="2026-11-30T00:00:00"/>
        <d v="2026-12-14T00:00:00"/>
      </sharedItems>
    </cacheField>
    <cacheField name="end" numFmtId="15">
      <sharedItems containsSemiMixedTypes="0" containsNonDate="0" containsDate="1" containsString="0" minDate="2026-01-09T00:00:00" maxDate="2026-12-26T00:00:00" count="26">
        <d v="2026-01-09T00:00:00"/>
        <d v="2026-01-23T00:00:00"/>
        <d v="2026-02-06T00:00:00"/>
        <d v="2026-02-20T00:00:00"/>
        <d v="2026-03-06T00:00:00"/>
        <d v="2026-03-20T00:00:00"/>
        <d v="2026-04-03T00:00:00"/>
        <d v="2026-04-17T00:00:00"/>
        <d v="2026-05-01T00:00:00"/>
        <d v="2026-05-15T00:00:00"/>
        <d v="2026-05-29T00:00:00"/>
        <d v="2026-06-12T00:00:00"/>
        <d v="2026-06-26T00:00:00"/>
        <d v="2026-07-10T00:00:00"/>
        <d v="2026-07-24T00:00:00"/>
        <d v="2026-08-07T00:00:00"/>
        <d v="2026-08-21T00:00:00"/>
        <d v="2026-09-04T00:00:00"/>
        <d v="2026-09-18T00:00:00"/>
        <d v="2026-10-02T00:00:00"/>
        <d v="2026-10-16T00:00:00"/>
        <d v="2026-10-30T00:00:00"/>
        <d v="2026-11-13T00:00:00"/>
        <d v="2026-11-27T00:00:00"/>
        <d v="2026-12-11T00:00:00"/>
        <d v="2026-12-25T00:00:00"/>
      </sharedItems>
    </cacheField>
    <cacheField name="Status (1=Done, 0=Progress)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62" xr:uid="{00000000-000A-0000-FFFF-FFFF08000000}">
  <cacheSource type="worksheet">
    <worksheetSource ref="A1:H163" sheet="baseline"/>
  </cacheSource>
  <cacheFields count="8">
    <cacheField name="Module" numFmtId="0">
      <sharedItems count="4">
        <s v="asm"/>
        <s v="handover"/>
        <s v="rca"/>
        <s v="ui improvement"/>
      </sharedItems>
    </cacheField>
    <cacheField name="Feature Name" numFmtId="0">
      <sharedItems containsBlank="1" count="14">
        <s v="ai"/>
        <s v="case approval"/>
        <s v="Case creation - Create/Edit Analysis"/>
        <s v="cmms"/>
        <s v="Document"/>
        <s v="Implementation, Testing, and Deploy"/>
        <s v="Knowledge Transfer"/>
        <s v="Noti Email"/>
        <s v="RCA Dashboard."/>
        <s v="Report"/>
        <s v="Requirement &amp; Design"/>
        <s v="revision"/>
        <s v="User Management"/>
        <m/>
      </sharedItems>
    </cacheField>
    <cacheField name="User Story ID" numFmtId="0">
      <sharedItems containsBlank="1" count="143">
        <s v="EAPM 5024"/>
        <s v="EAPM 5027"/>
        <s v="EAPM 5028"/>
        <s v="EAPM 5029"/>
        <s v="EAPM 5847"/>
        <s v="EAPM 5848"/>
        <s v="EAPM 6178"/>
        <s v="EAPM-10"/>
        <s v="EAPM-1071"/>
        <s v="EAPM-11"/>
        <s v="EAPM-1150"/>
        <s v="EAPM-1160"/>
        <s v="EAPM-1255"/>
        <s v="EAPM-1302"/>
        <s v="EAPM-1303"/>
        <s v="EAPM-1304"/>
        <s v="EAPM-1305"/>
        <s v="EAPM-1306"/>
        <s v="EAPM-1307"/>
        <s v="EAPM-1308"/>
        <s v="EAPM-1309"/>
        <s v="EAPM-1310"/>
        <s v="EAPM-1311"/>
        <s v="EAPM-1312"/>
        <s v="EAPM-1313"/>
        <s v="EAPM-1314"/>
        <s v="EAPM-1316"/>
        <s v="EAPM-1317"/>
        <s v="EAPM-1318"/>
        <s v="EAPM-1392"/>
        <s v="EAPM-1393"/>
        <s v="EAPM-1394"/>
        <s v="EAPM-1585"/>
        <s v="EAPM-1799"/>
        <s v="EAPM-1800"/>
        <s v="EAPM-1801"/>
        <s v="EAPM-1803"/>
        <s v="EAPM-1844"/>
        <s v="EAPM-1845"/>
        <s v="EAPM-1883"/>
        <s v="EAPM-1955"/>
        <s v="EAPM-1999"/>
        <s v="EAPM-2000"/>
        <s v="EAPM-2003"/>
        <s v="EAPM-2004"/>
        <s v="EAPM-2006"/>
        <s v="EAPM-2007"/>
        <s v="EAPM-2362"/>
        <s v="EAPM-2423"/>
        <s v="EAPM-244"/>
        <s v="EAPM-2486"/>
        <s v="EAPM-2487"/>
        <s v="EAPM-2488"/>
        <s v="EAPM-25"/>
        <s v="EAPM-26"/>
        <s v="EAPM-2653"/>
        <s v="EAPM-2672"/>
        <s v="EAPM-2745"/>
        <s v="EAPM-2759"/>
        <s v="EAPM-2779"/>
        <s v="EAPM-278"/>
        <s v="EAPM-2780"/>
        <s v="EAPM-2808"/>
        <s v="EAPM-2809"/>
        <s v="EAPM-2933"/>
        <s v="EAPM-2934"/>
        <s v="EAPM-2935"/>
        <s v="EAPM-2936"/>
        <s v="EAPM-2937"/>
        <s v="EAPM-2945"/>
        <s v="EAPM-2946"/>
        <s v="EAPM-32"/>
        <s v="EAPM-33"/>
        <s v="EAPM-3352"/>
        <s v="EAPM-3355"/>
        <s v="EAPM-3406"/>
        <s v="EAPM-3407"/>
        <s v="EAPM-3408"/>
        <s v="EAPM-3409"/>
        <s v="EAPM-3410"/>
        <s v="EAPM-3411"/>
        <s v="EAPM-3412"/>
        <s v="EAPM-3413"/>
        <s v="EAPM-3414"/>
        <s v="EAPM-3415"/>
        <s v="EAPM-3416"/>
        <s v="EAPM-3417"/>
        <s v="EAPM-3420"/>
        <s v="EAPM-3445"/>
        <s v="EAPM-3448"/>
        <s v="EAPM-347"/>
        <s v="EAPM-349"/>
        <s v="EAPM-3671"/>
        <s v="EAPM-3717"/>
        <s v="EAPM-3727"/>
        <s v="EAPM-3752"/>
        <s v="EAPM-3797"/>
        <s v="EAPM-3875"/>
        <s v="EAPM-3898"/>
        <s v="EAPM-3926"/>
        <s v="EAPM-4027"/>
        <s v="EAPM-4042"/>
        <s v="EAPM-4289"/>
        <s v="EAPM-4296"/>
        <s v="EAPM-4355"/>
        <s v="EAPM-4356"/>
        <s v="EAPM-4447"/>
        <s v="EAPM-4516"/>
        <s v="EAPM-4567"/>
        <s v="EAPM-4568"/>
        <s v="EAPM-4569"/>
        <s v="EAPM-4730"/>
        <s v="EAPM-4731"/>
        <s v="EAPM-5022"/>
        <s v="EAPM-5023"/>
        <s v="EAPM-5026"/>
        <s v="EAPM-5059"/>
        <s v="EAPM-5158"/>
        <s v="EAPM-5236"/>
        <s v="EAPM-5237"/>
        <s v="EAPM-5241"/>
        <s v="EAPM-5395"/>
        <s v="EAPM-5397"/>
        <s v="EAPM-5434"/>
        <s v="EAPM-5493"/>
        <s v="EAPM-5572"/>
        <s v="EAPM-5812"/>
        <s v="EAPM-599"/>
        <s v="EAPM-6028"/>
        <s v="EAPM-6231"/>
        <s v="EAPM-6367"/>
        <s v="EAPM-6368"/>
        <s v="EAPM-6369"/>
        <s v="EAPM-6370"/>
        <s v="EAPM-7"/>
        <s v="EAPM-8"/>
        <s v="EAPM-882"/>
        <s v="EAPM-9"/>
        <s v="EAPM-906"/>
        <s v="EAPM-919"/>
        <s v="EAPM-922"/>
        <s v="EAPM-923"/>
        <m/>
      </sharedItems>
    </cacheField>
    <cacheField name="User Story Description" numFmtId="0">
      <sharedItems count="160">
        <s v="[ASM] Apply a consistent design standard to all action buttons. [FE]"/>
        <s v="[ASM] Sustainable Tuning for support 2-3x or more data"/>
        <s v="[ASM] Update schema follow s4AHANA format"/>
        <s v="[ASM][AssetStrategy] ASM Data Migration"/>
        <s v="[ASM][AssetStrategy] Email Notification Message - Template 2 (Review)"/>
        <s v="[ASM][AssetStrategy] Integrate FDP (GCP) - [BE]"/>
        <s v="[ASM][AssetStrategy] Trigger an update for all data retrieved from GCP. (Location, FDP, Maintenance Plan, ...)"/>
        <s v="[ASM][AssetStrategy][CMMS] CMMS History Log - Click Hyperlink - View CMMS Final Form Details"/>
        <s v="[ASM][AssetStrategy][CMMS] CMMS History Log - table - Export Excel (Submitted Final Form)"/>
        <s v="[ASM][AssetStrategy][CMMS] CMMS History Log - table - Export Excel Table View"/>
        <s v="[ASM][AssetStrategy][CMMS] CMMS History Log - table + click button + Overview"/>
        <s v="[ASM][AssetStrategy][MaintenancePlan] CMMS Form Final  - &quot;Submit / Back&quot; Button"/>
        <s v="[ASM][AssetStrategy][MaintenancePlan] CMMS Form Final  - tap Finalized - Attach Job Card"/>
        <s v="[ASM][AssetStrategy][MaintenancePlan] CMMS Form Final  - tap Finalized - Initial + Request Info"/>
        <s v="[ASM][AssetStrategy][MaintenancePlan] CMMS Form Final  - tap Finalized - Maintenance Item (Object List)"/>
        <s v="[ASM][AssetStrategy][MaintenancePlan] CMMS Form Final  - tap Finalized - Maintenance Plan Item"/>
        <s v="[ASM][AssetStrategy][MaintenancePlan] CMMS Form Final  - tap Finalized - Task List (Header)"/>
        <s v="[ASM][AssetStrategy][MaintenancePlan] CMMS Form Final  - tap Finalized - Task List (Operation)"/>
        <s v="[ASM][AssetStrategy][MaintenancePlan] CMMS Form Final - save data to APM DB"/>
        <s v="[ASM][AssetStrategy][MaintenancePlans] Integrate SAP "/>
        <s v="[ASM][AssetStrategy][MaintenancePlans] Integrate SAP - Mock Test JSON"/>
        <s v="[ASM][AssetStrategy][MaintenancePlans] Integrate SAP - Mock Test JSON #2"/>
        <s v="[ASM][AssetStrategy][MaintenancePlans] Submit Change Request - CMMS Form(PreFilled) - MaintenancePlanItem - Case: Add New Sub"/>
        <s v="[ASM][AssetStrategy][MaintenancePlans] Submit Change Request - Summary Action"/>
        <s v="[ASM][AssetStrategy][MaintenancePlans] Submit Change Request - Summary Action - Export Excel"/>
        <s v="[ASM][AssetStrategy][MaintenancePlans] Submit Change Request Form - CMMS Change Request Form (AttachJobCard)"/>
        <s v="[ASM][AssetStrategy][MaintenancePlans] Submit Change Request Form - CMMS Change Request Form (MaintenancePlanItem) - Add/Duplicate/Delete row"/>
        <s v="[ASM][AssetStrategy][MaintenancePlans] Submit Change Request Form - CMMS Change Request Form (MaintenancePlanItem) #1"/>
        <s v="[ASM][AssetStrategy][MaintenancePlans] Submit Change Request Form - CMMS Change Request Form (MaintenancePlanItem) #2"/>
        <s v="[ASM][AssetStrategy][MaintenancePlans] Submit Change Request Form - CMMS Change Request Form (MaintenancePlanItem) #3"/>
        <s v="[ASM][AssetStrategy][MaintenancePlans] Submit Change Request Form - CMMS Change Request Form (ObjectList) + Add/Duplicate/Delete row"/>
        <s v="[ASM][AssetStrategy][MaintenancePlans] Submit Change Request Form - CMMS Change Request Form (RequestInfo) #1"/>
        <s v="[ASM][AssetStrategy][MaintenancePlans] Submit Change Request Form - CMMS Change Request Form (TaskListHeader) - Add New Sub"/>
        <s v="[ASM][AssetStrategy][MaintenancePlans] Submit Change Request Form - CMMS Change Request Form (TaskListHeader) - Add/Duplicate/Delete row"/>
        <s v="[ASM][AssetStrategy][MaintenancePlans] Submit Change Request Form - CMMS Change Request Form (TaskListHeader) #1"/>
        <s v="[ASM][AssetStrategy][MaintenancePlans] Submit Change Request Form - CMMS Change Request Form (TaskListHeader) #2"/>
        <s v="[ASM][AssetStrategy][MaintenancePlans] Submit Change Request Form - CMMS Change Request Form (TaskListOperation) - Add New Sub"/>
        <s v="[ASM][AssetStrategy][MaintenancePlans] Submit Change Request Form - CMMS Change Request Form (TaskListOperation) - Add/Duplicate/Delete row"/>
        <s v="[ASM][AssetStrategy][MaintenancePlans] Submit Change Request Form - CMMS Change Request Form (TaskListOperation) #1"/>
        <s v="[ASM][AssetStrategy][MaintenancePlans] Submit Change Request Form - CMMS Change Request Form (TaskListOperation) #2"/>
        <s v="[ASM][AssetStrategy][MaintenancePlans] Submit Change Request Form - CMMS Form Final - Export Excel Finalized"/>
        <s v="[ASM][AssetStrategy][MaintenancePlans] Submit Change Request Form - Strategy Preview - After"/>
        <s v="[ASM][AssetStrategy][MaintenancePlans] Submit Change Request Form - Strategy Preview - Calculate Summary Interval"/>
        <s v="[ASM][AssetStrategy][MaintenancePlans] Submit Change Request Form - Strategy Preview - Initial + Before"/>
        <s v="[ASM][AssetStrategy][MaintenancePlans] Submit Change Request Form - Strategy Preview - Related Strategy"/>
        <s v="[ASM][AssetStrategy][MaintenancePlans] Table List - Add logic to &quot;Request Sub.&quot;"/>
        <s v="[ASM][AssetStrategy][MaintenancePlans] Table List - Change Request No. - Hyperlink - modal Final, SG preview, related SG"/>
        <s v="[ASM][AssetStrategy][MaintenancePlans] Table List - Submit Change Request Flow"/>
        <s v="[ASM][AssetStrategy][Revisions] Revision Details - Maintenance Plans"/>
        <s v="[ASM][AssetStrategy][Revisions] Revision Details - Risk Analysis"/>
        <s v="[ASM][AssetStrategy][Revisions] Revision Details - Risks and Tasks"/>
        <s v="[ASM][AssetStrategy][Revisions] Revision Details - Risks Details"/>
        <s v="[ASM][AssetStrategy][Revisions] Revision Details - Strategy Summary - Tab Details"/>
        <s v="[ASM][AssetStrategy][Revisions] Revision Details - Strategy Summary - Tab Summary"/>
        <s v="[ASM][AssetStrategy][Revisions] Revision Details - Task Details"/>
        <s v="[ASM][AssetStrategy][RisksAndTasks] Risk tap Details - Integrate AI Suggestion"/>
        <s v="[ASM][FE] Upgrade Version Angular"/>
        <s v="[ASM][SAP] add temporary trigger button for test retry SAP failed - call api schedule SAP"/>
        <s v="[BE][ASM][AssetStrategy] Sync all &quot;ASM Strategies&quot; to GCP"/>
        <s v="[Document] system and user manual, sonaqube result"/>
        <s v="[FE][Improvement][ASM][AssetStrategy][MaintenancePlans] Table List - Add logic to &quot;Work Center&quot; field"/>
        <s v="[FE][POC][ASM][AssetStrategy][MaintenancePlan] POC CMMS Final Form - UI Screen + Export Excel"/>
        <s v="[FE][RCA] POC powerpoint"/>
        <s v="[Improvement][Admin] User Management - Apply standard design for table list"/>
        <s v="[Improvement][ASM][AssetStrategy] All Table List - Change Design the shown numbers as total, select items, filter results"/>
        <s v="[Improvement][ASM][AssetStrategy] Excel Template File V4. #1"/>
        <s v="[Improvement][ASM][AssetStrategy] Excel Template File V4. #2"/>
        <s v="[Improvement][ASM][AssetStrategy] Strategies Table List V3. - Add column"/>
        <s v="[Improvement][ASM][AssetStrategy] Strategy Table list - Apply standard design for table list"/>
        <s v="[Improvement][ASM][AssetStrategy] Table List - Searching and Sorting field Unmitigated Matrix, Mitigated Matrix"/>
        <s v="[Improvement][ASM][AssetStrategy][MaintenancePlan] Converted interval value K = 000H"/>
        <s v="[Improvement][ASM][AssetStrategy][MaintenancePlan] Maintenance Plan table list - Apply standard design for table list"/>
        <s v="[Improvement][ASM][AssetStrategy][MaintenancePlans] Table List - Add dropdown &quot;Work Center&quot;"/>
        <s v="[Improvement][ASM][AssetStrategy][MaintenancePlans] Table List - After Submit CMMS - Add logic Submit button"/>
        <s v="[Improvement][ASM][AssetStrategy][Overview] Risk Matrix by Active Strategy Table list - Apply standard design for table list"/>
        <s v="[Improvement][ASM][AssetStrategy][Revision] disabled icon restore"/>
        <s v="[Improvement][ASM][AssetStrategy][Revision] Revision Table list - Apply standard design for table list"/>
        <s v="[Improvement][ASM][AssetStrategy][RisksAndTasks] Risk Details - Add Description for Failure Impact + Change Field Name"/>
        <s v="[Improvement][ASM][AssetStrategy][RisksAndTasks] Risk Details - Change Logic"/>
        <s v="[Improvement][ASM][AssetStrategy][RisksAndTasks] Risk/Task Panel - Change Icon Yellow Alert to Arrow Icon + Abbreviate Interval + SCE Tag"/>
        <s v="[Improvement][ASM][AssetStrategy][RisksAndTasks] Scale Bar - Icon U / M"/>
        <s v="[Improvement][ASM][AssetStrategy][RisksAndTasks] Task Details - Set default ROI to &quot;-1&quot;"/>
        <s v="[Improvement][ASM][AssetStrategy][RisksAndTasks] Task Details V3."/>
        <s v="[Improvement][ASM][AssetStrategy][SummaryDetails] Change default &quot;Plant Length =20&quot;"/>
        <s v="[Improvement][ASM][BE] tuning performance Graph"/>
        <s v="[Improvement][ASM][BE+FE] Abbreviate number when exceeding digit threshold "/>
        <s v="[Improvement][ASM][CMMS] Submit CMMS -  Add PackageNo not found page"/>
        <s v="[Improvement][ASM][CMMS] Submit CMMS - Change logic field &quot;Updated Field&quot;"/>
        <s v="[Improvement][ASM][FE] Abbreviate number when exceeding digit threshold"/>
        <s v="[Improvement][ASM][RisksAndTasks] - Risk Detail / Task Detail - Add more suggestion"/>
        <s v="[Improvement][AssetStrategy][CMMS] Add column “SCE Group” + Prefill Operation Short Text + Add K logic"/>
        <s v="[Improvement][FE][ASM][RisksAndTasks] Risk Property - Add more suggestion to 3M, 6M, 12M, 18M, 24M"/>
        <s v="[Improvement][Home][GeneralDetails] My Task - Apply standard design for table list"/>
        <s v="[Improvement][Home][GeneralDetails] My Tasks - Add checked Group Permission for Waiting for Approval Box."/>
        <s v="[Improvement][MaintenancePlan][SAP] Integrate S4HANA - (B1)"/>
        <s v="[Improvement][RCA][createNewAnalysis] add asset when create new RCA + add validate input format &quot;RCA Case Name&quot;"/>
        <s v="[Improvement][RCA][createNewAnalysis] Add validation - Folder Name in Sharepoint"/>
        <s v="[Improvement][RCA][createNewAnalysis] change source of PTTEP Risk Matrix + Add last updated date"/>
        <s v="[Improvement][RCA][createNewAnalysis] Logic Tree - Main diagram"/>
        <s v="[Improvement][RCA][createNewAnalysis] Verification Actions - Table List - allow assigned group email from azure + add column &quot;Last Updated by&quot;"/>
        <s v="[Improvement][RCA][FE][createNewAnalysis] change save button name + change placeholder"/>
        <s v="[Improvement][SAP] change toast error message after submit CMMS"/>
        <s v="[Improvement][SAP] Error Handling from SAP response"/>
        <s v="[KT] knowledge transfer "/>
        <s v="[POC][FE][RCA] Logic Tree - Diagram"/>
        <s v="[RCA] Add Permission to all pages in RCA"/>
        <s v="[RCA] Export Report"/>
        <s v="[RCA] Export Report - ppt &gt;&gt; PDF"/>
        <s v="[RCA] Initial Layout"/>
        <s v="[RCA] Notification Email - Monthly 16th "/>
        <s v="[RCA] Notification Email - Monthly 1st"/>
        <s v="[RCA] Sharepoint Structure"/>
        <s v="[RCA][Approval Flow] Case Approval - Approval detail + progress - approver view"/>
        <s v="[RCA][Approval Flow] Case Approval - Approval detail + progress - Fa view"/>
        <s v="[RCA][Approval Flow] Case Approval - Approval detail + progress - viewer"/>
        <s v="[RCA][Approval Flow] Case Approval - Approval History"/>
        <s v="[RCA][Approval Flow] Case Approval - Approval Progress - Super User view"/>
        <s v="[RCA][Approval Flow] Case Approval - Noti Email - Inform"/>
        <s v="[RCA][Approval Flow] Case Status - Permission"/>
        <s v="[RCA][Approval Flow] RCA Approval Tracking modal - Structure"/>
        <s v="[RCA][Approval Flow] Submit RCA Case - “Start Investigation” button"/>
        <s v="[RCA][Approval Flow] Submit RCA Case - Approve"/>
        <s v="[RCA][Approval Flow] Submit RCA Case - Flow Start Investigation"/>
        <s v="[RCA][Approval Flow] Submit RCA Case - Implementing Action and Complete"/>
        <s v="[RCA][Approval Flow] Submit RCA Case - Waiting Verification"/>
        <s v="[RCA][createNewAnalysis] Case Background"/>
        <s v="[RCA][createNewAnalysis] Common Header"/>
        <s v="[RCA][createNewAnalysis] Dash Board - Graph"/>
        <s v="[RCA][createNewAnalysis] Dash Board - Table List - RCA Analysis(All)"/>
        <s v="[RCA][createNewAnalysis] Dash Board - Table List - RCA Recommendation (Pending) "/>
        <s v="[RCA][createNewAnalysis] Dash Board - Table List - RCA Verification (Pending)"/>
        <s v="[RCA][createNewAnalysis] Executive Summary"/>
        <s v="[RCA][createNewAnalysis] Executive Summary - Design Request/Response JSON for AI"/>
        <s v="[RCA][createNewAnalysis] Finding"/>
        <s v="[RCA][createNewAnalysis] Incident Timeline "/>
        <s v="[RCA][createNewAnalysis] Incident Timeline - Export PDF "/>
        <s v="[RCA][createNewAnalysis] Logic Tree"/>
        <s v="[RCA][createNewAnalysis] Logic Tree - Box Details"/>
        <s v="[RCA][createNewAnalysis] Logic Tree - Box Details - Actions"/>
        <s v="[RCA][createNewAnalysis] modal input Case name &gt;&gt; save draft"/>
        <s v="[RCA][createNewAnalysis] Other Recommendations"/>
        <s v="[RCA][createNewAnalysis] Problem Analysis"/>
        <s v="[RCA][createNewAnalysis] RCA Recommendations"/>
        <s v="[RCA][createNewAnalysis] Reference Document - Table 1"/>
        <s v="[RCA][createNewAnalysis] Reference Document - Table 2"/>
        <s v="[RCA][createNewAnalysis] Team Member "/>
        <s v="[RCA][createNewAnalysis] Verification Action"/>
        <s v="[RCA][createNewAnalysis] Verification Action - Noti"/>
        <s v="[RCA][Dashboard] RCA Analysis (All) - table list"/>
        <s v="[RCA][UserAccount] User Management - Role&amp;Permissions - Approval Flow - Add input setting"/>
        <s v="[RCA][UserAccount] User Management - Role&amp;Permissions - Approval Flow - display"/>
        <s v="[RCA][UserAccount] User Management - Role&amp;Permissions - Azure"/>
        <s v="[RCA][UserManagement] Master Data Setting &quot;RCA Type&quot;"/>
        <s v="[ServerError] HTTP Status Error 5xx"/>
        <s v="design and feedback loop #1"/>
        <s v="design and feedback loop #2"/>
        <s v="implement, deploy, and testing #1"/>
        <s v="implement, deploy, and testing #2"/>
        <s v="implement, deploy, and testing #3"/>
        <s v="implement, deploy, and testing #4"/>
      </sharedItems>
    </cacheField>
    <cacheField name="Sprint" numFmtId="0">
      <sharedItems containsSemiMixedTypes="0" containsString="0" containsNumber="1" containsInteger="1" minValue="18" maxValue="43" count="26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" numFmtId="0">
      <sharedItems containsSemiMixedTypes="0" containsNonDate="0" containsDate="1" containsString="0" minDate="2026-01-05T00:00:00" maxDate="2026-12-14T00:00:00" count="26">
        <d v="2026-01-05T00:00:00"/>
        <d v="2026-01-12T00:00:00"/>
        <d v="2026-01-26T00:00:00"/>
        <d v="2026-02-09T00:00:00"/>
        <d v="2026-02-23T00:00:00"/>
        <d v="2026-03-09T00:00:00"/>
        <d v="2026-03-23T00:00:00"/>
        <d v="2026-04-06T00:00:00"/>
        <d v="2026-04-20T00:00:00"/>
        <d v="2026-05-04T00:00:00"/>
        <d v="2026-05-18T00:00:00"/>
        <d v="2026-06-01T00:00:00"/>
        <d v="2026-06-15T00:00:00"/>
        <d v="2026-06-29T00:00:00"/>
        <d v="2026-07-13T00:00:00"/>
        <d v="2026-07-27T00:00:00"/>
        <d v="2026-08-10T00:00:00"/>
        <d v="2026-08-24T00:00:00"/>
        <d v="2026-09-07T00:00:00"/>
        <d v="2026-09-21T00:00:00"/>
        <d v="2026-10-05T00:00:00"/>
        <d v="2026-10-19T00:00:00"/>
        <d v="2026-11-02T00:00:00"/>
        <d v="2026-11-16T00:00:00"/>
        <d v="2026-11-30T00:00:00"/>
        <d v="2026-12-14T00:00:00"/>
      </sharedItems>
    </cacheField>
    <cacheField name="end" numFmtId="0">
      <sharedItems containsSemiMixedTypes="0" containsNonDate="0" containsDate="1" containsString="0" minDate="2026-01-09T00:00:00" maxDate="2026-12-25T00:00:00" count="26">
        <d v="2026-01-09T00:00:00"/>
        <d v="2026-01-23T00:00:00"/>
        <d v="2026-02-06T00:00:00"/>
        <d v="2026-02-20T00:00:00"/>
        <d v="2026-03-06T00:00:00"/>
        <d v="2026-03-20T00:00:00"/>
        <d v="2026-04-03T00:00:00"/>
        <d v="2026-04-17T00:00:00"/>
        <d v="2026-05-01T00:00:00"/>
        <d v="2026-05-15T00:00:00"/>
        <d v="2026-05-29T00:00:00"/>
        <d v="2026-06-12T00:00:00"/>
        <d v="2026-06-26T00:00:00"/>
        <d v="2026-07-10T00:00:00"/>
        <d v="2026-07-24T00:00:00"/>
        <d v="2026-08-07T00:00:00"/>
        <d v="2026-08-21T00:00:00"/>
        <d v="2026-09-04T00:00:00"/>
        <d v="2026-09-18T00:00:00"/>
        <d v="2026-10-02T00:00:00"/>
        <d v="2026-10-16T00:00:00"/>
        <d v="2026-10-30T00:00:00"/>
        <d v="2026-11-13T00:00:00"/>
        <d v="2026-11-27T00:00:00"/>
        <d v="2026-12-11T00:00:00"/>
        <d v="2026-12-25T00:00:00"/>
      </sharedItems>
    </cacheField>
    <cacheField name="Status (1=Done, 0=Progress)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62" xr:uid="{00000000-000A-0000-FFFF-FFFF09000000}">
  <cacheSource type="worksheet">
    <worksheetSource ref="A1:K163" sheet="baseline"/>
  </cacheSource>
  <cacheFields count="11">
    <cacheField name="Module" numFmtId="0">
      <sharedItems count="4">
        <s v="asm"/>
        <s v="handover"/>
        <s v="rca"/>
        <s v="ui improvement"/>
      </sharedItems>
    </cacheField>
    <cacheField name="Feature Name" numFmtId="0">
      <sharedItems containsBlank="1" count="14">
        <s v="ai"/>
        <s v="case approval"/>
        <s v="Case creation - Create/Edit Analysis"/>
        <s v="cmms"/>
        <s v="Document"/>
        <s v="Implementation, Testing, and Deploy"/>
        <s v="Knowledge Transfer"/>
        <s v="Noti Email"/>
        <s v="RCA Dashboard."/>
        <s v="Report"/>
        <s v="Requirement &amp; Design"/>
        <s v="revision"/>
        <s v="User Management"/>
        <m/>
      </sharedItems>
    </cacheField>
    <cacheField name="User Story ID" numFmtId="0">
      <sharedItems containsBlank="1" count="143">
        <s v="EAPM 5024"/>
        <s v="EAPM 5027"/>
        <s v="EAPM 5028"/>
        <s v="EAPM 5029"/>
        <s v="EAPM 5847"/>
        <s v="EAPM 5848"/>
        <s v="EAPM 6178"/>
        <s v="EAPM-10"/>
        <s v="EAPM-1071"/>
        <s v="EAPM-11"/>
        <s v="EAPM-1150"/>
        <s v="EAPM-1160"/>
        <s v="EAPM-1255"/>
        <s v="EAPM-1302"/>
        <s v="EAPM-1303"/>
        <s v="EAPM-1304"/>
        <s v="EAPM-1305"/>
        <s v="EAPM-1306"/>
        <s v="EAPM-1307"/>
        <s v="EAPM-1308"/>
        <s v="EAPM-1309"/>
        <s v="EAPM-1310"/>
        <s v="EAPM-1311"/>
        <s v="EAPM-1312"/>
        <s v="EAPM-1313"/>
        <s v="EAPM-1314"/>
        <s v="EAPM-1316"/>
        <s v="EAPM-1317"/>
        <s v="EAPM-1318"/>
        <s v="EAPM-1392"/>
        <s v="EAPM-1393"/>
        <s v="EAPM-1394"/>
        <s v="EAPM-1585"/>
        <s v="EAPM-1799"/>
        <s v="EAPM-1800"/>
        <s v="EAPM-1801"/>
        <s v="EAPM-1803"/>
        <s v="EAPM-1844"/>
        <s v="EAPM-1845"/>
        <s v="EAPM-1883"/>
        <s v="EAPM-1955"/>
        <s v="EAPM-1999"/>
        <s v="EAPM-2000"/>
        <s v="EAPM-2003"/>
        <s v="EAPM-2004"/>
        <s v="EAPM-2006"/>
        <s v="EAPM-2007"/>
        <s v="EAPM-2362"/>
        <s v="EAPM-2423"/>
        <s v="EAPM-244"/>
        <s v="EAPM-2486"/>
        <s v="EAPM-2487"/>
        <s v="EAPM-2488"/>
        <s v="EAPM-25"/>
        <s v="EAPM-26"/>
        <s v="EAPM-2653"/>
        <s v="EAPM-2672"/>
        <s v="EAPM-2745"/>
        <s v="EAPM-2759"/>
        <s v="EAPM-2779"/>
        <s v="EAPM-278"/>
        <s v="EAPM-2780"/>
        <s v="EAPM-2808"/>
        <s v="EAPM-2809"/>
        <s v="EAPM-2933"/>
        <s v="EAPM-2934"/>
        <s v="EAPM-2935"/>
        <s v="EAPM-2936"/>
        <s v="EAPM-2937"/>
        <s v="EAPM-2945"/>
        <s v="EAPM-2946"/>
        <s v="EAPM-32"/>
        <s v="EAPM-33"/>
        <s v="EAPM-3352"/>
        <s v="EAPM-3355"/>
        <s v="EAPM-3406"/>
        <s v="EAPM-3407"/>
        <s v="EAPM-3408"/>
        <s v="EAPM-3409"/>
        <s v="EAPM-3410"/>
        <s v="EAPM-3411"/>
        <s v="EAPM-3412"/>
        <s v="EAPM-3413"/>
        <s v="EAPM-3414"/>
        <s v="EAPM-3415"/>
        <s v="EAPM-3416"/>
        <s v="EAPM-3417"/>
        <s v="EAPM-3420"/>
        <s v="EAPM-3445"/>
        <s v="EAPM-3448"/>
        <s v="EAPM-347"/>
        <s v="EAPM-349"/>
        <s v="EAPM-3671"/>
        <s v="EAPM-3717"/>
        <s v="EAPM-3727"/>
        <s v="EAPM-3752"/>
        <s v="EAPM-3797"/>
        <s v="EAPM-3875"/>
        <s v="EAPM-3898"/>
        <s v="EAPM-3926"/>
        <s v="EAPM-4027"/>
        <s v="EAPM-4042"/>
        <s v="EAPM-4289"/>
        <s v="EAPM-4296"/>
        <s v="EAPM-4355"/>
        <s v="EAPM-4356"/>
        <s v="EAPM-4447"/>
        <s v="EAPM-4516"/>
        <s v="EAPM-4567"/>
        <s v="EAPM-4568"/>
        <s v="EAPM-4569"/>
        <s v="EAPM-4730"/>
        <s v="EAPM-4731"/>
        <s v="EAPM-5022"/>
        <s v="EAPM-5023"/>
        <s v="EAPM-5026"/>
        <s v="EAPM-5059"/>
        <s v="EAPM-5158"/>
        <s v="EAPM-5236"/>
        <s v="EAPM-5237"/>
        <s v="EAPM-5241"/>
        <s v="EAPM-5395"/>
        <s v="EAPM-5397"/>
        <s v="EAPM-5434"/>
        <s v="EAPM-5493"/>
        <s v="EAPM-5572"/>
        <s v="EAPM-5812"/>
        <s v="EAPM-599"/>
        <s v="EAPM-6028"/>
        <s v="EAPM-6231"/>
        <s v="EAPM-6367"/>
        <s v="EAPM-6368"/>
        <s v="EAPM-6369"/>
        <s v="EAPM-6370"/>
        <s v="EAPM-7"/>
        <s v="EAPM-8"/>
        <s v="EAPM-882"/>
        <s v="EAPM-9"/>
        <s v="EAPM-906"/>
        <s v="EAPM-919"/>
        <s v="EAPM-922"/>
        <s v="EAPM-923"/>
        <m/>
      </sharedItems>
    </cacheField>
    <cacheField name="User Story Description" numFmtId="0">
      <sharedItems count="160">
        <s v="[ASM] Apply a consistent design standard to all action buttons. [FE]"/>
        <s v="[ASM] Sustainable Tuning for support 2-3x or more data"/>
        <s v="[ASM] Update schema follow s4AHANA format"/>
        <s v="[ASM][AssetStrategy] ASM Data Migration"/>
        <s v="[ASM][AssetStrategy] Email Notification Message - Template 2 (Review)"/>
        <s v="[ASM][AssetStrategy] Integrate FDP (GCP) - [BE]"/>
        <s v="[ASM][AssetStrategy] Trigger an update for all data retrieved from GCP. (Location, FDP, Maintenance Plan, ...)"/>
        <s v="[ASM][AssetStrategy][CMMS] CMMS History Log - Click Hyperlink - View CMMS Final Form Details"/>
        <s v="[ASM][AssetStrategy][CMMS] CMMS History Log - table - Export Excel (Submitted Final Form)"/>
        <s v="[ASM][AssetStrategy][CMMS] CMMS History Log - table - Export Excel Table View"/>
        <s v="[ASM][AssetStrategy][CMMS] CMMS History Log - table + click button + Overview"/>
        <s v="[ASM][AssetStrategy][MaintenancePlan] CMMS Form Final  - &quot;Submit / Back&quot; Button"/>
        <s v="[ASM][AssetStrategy][MaintenancePlan] CMMS Form Final  - tap Finalized - Attach Job Card"/>
        <s v="[ASM][AssetStrategy][MaintenancePlan] CMMS Form Final  - tap Finalized - Initial + Request Info"/>
        <s v="[ASM][AssetStrategy][MaintenancePlan] CMMS Form Final  - tap Finalized - Maintenance Item (Object List)"/>
        <s v="[ASM][AssetStrategy][MaintenancePlan] CMMS Form Final  - tap Finalized - Maintenance Plan Item"/>
        <s v="[ASM][AssetStrategy][MaintenancePlan] CMMS Form Final  - tap Finalized - Task List (Header)"/>
        <s v="[ASM][AssetStrategy][MaintenancePlan] CMMS Form Final  - tap Finalized - Task List (Operation)"/>
        <s v="[ASM][AssetStrategy][MaintenancePlan] CMMS Form Final - save data to APM DB"/>
        <s v="[ASM][AssetStrategy][MaintenancePlans] Integrate SAP "/>
        <s v="[ASM][AssetStrategy][MaintenancePlans] Integrate SAP - Mock Test JSON"/>
        <s v="[ASM][AssetStrategy][MaintenancePlans] Integrate SAP - Mock Test JSON #2"/>
        <s v="[ASM][AssetStrategy][MaintenancePlans] Submit Change Request - CMMS Form(PreFilled) - MaintenancePlanItem - Case: Add New Sub"/>
        <s v="[ASM][AssetStrategy][MaintenancePlans] Submit Change Request - Summary Action"/>
        <s v="[ASM][AssetStrategy][MaintenancePlans] Submit Change Request - Summary Action - Export Excel"/>
        <s v="[ASM][AssetStrategy][MaintenancePlans] Submit Change Request Form - CMMS Change Request Form (AttachJobCard)"/>
        <s v="[ASM][AssetStrategy][MaintenancePlans] Submit Change Request Form - CMMS Change Request Form (MaintenancePlanItem) - Add/Duplicate/Delete row"/>
        <s v="[ASM][AssetStrategy][MaintenancePlans] Submit Change Request Form - CMMS Change Request Form (MaintenancePlanItem) #1"/>
        <s v="[ASM][AssetStrategy][MaintenancePlans] Submit Change Request Form - CMMS Change Request Form (MaintenancePlanItem) #2"/>
        <s v="[ASM][AssetStrategy][MaintenancePlans] Submit Change Request Form - CMMS Change Request Form (MaintenancePlanItem) #3"/>
        <s v="[ASM][AssetStrategy][MaintenancePlans] Submit Change Request Form - CMMS Change Request Form (ObjectList) + Add/Duplicate/Delete row"/>
        <s v="[ASM][AssetStrategy][MaintenancePlans] Submit Change Request Form - CMMS Change Request Form (RequestInfo) #1"/>
        <s v="[ASM][AssetStrategy][MaintenancePlans] Submit Change Request Form - CMMS Change Request Form (TaskListHeader) - Add New Sub"/>
        <s v="[ASM][AssetStrategy][MaintenancePlans] Submit Change Request Form - CMMS Change Request Form (TaskListHeader) - Add/Duplicate/Delete row"/>
        <s v="[ASM][AssetStrategy][MaintenancePlans] Submit Change Request Form - CMMS Change Request Form (TaskListHeader) #1"/>
        <s v="[ASM][AssetStrategy][MaintenancePlans] Submit Change Request Form - CMMS Change Request Form (TaskListHeader) #2"/>
        <s v="[ASM][AssetStrategy][MaintenancePlans] Submit Change Request Form - CMMS Change Request Form (TaskListOperation) - Add New Sub"/>
        <s v="[ASM][AssetStrategy][MaintenancePlans] Submit Change Request Form - CMMS Change Request Form (TaskListOperation) - Add/Duplicate/Delete row"/>
        <s v="[ASM][AssetStrategy][MaintenancePlans] Submit Change Request Form - CMMS Change Request Form (TaskListOperation) #1"/>
        <s v="[ASM][AssetStrategy][MaintenancePlans] Submit Change Request Form - CMMS Change Request Form (TaskListOperation) #2"/>
        <s v="[ASM][AssetStrategy][MaintenancePlans] Submit Change Request Form - CMMS Form Final - Export Excel Finalized"/>
        <s v="[ASM][AssetStrategy][MaintenancePlans] Submit Change Request Form - Strategy Preview - After"/>
        <s v="[ASM][AssetStrategy][MaintenancePlans] Submit Change Request Form - Strategy Preview - Calculate Summary Interval"/>
        <s v="[ASM][AssetStrategy][MaintenancePlans] Submit Change Request Form - Strategy Preview - Initial + Before"/>
        <s v="[ASM][AssetStrategy][MaintenancePlans] Submit Change Request Form - Strategy Preview - Related Strategy"/>
        <s v="[ASM][AssetStrategy][MaintenancePlans] Table List - Add logic to &quot;Request Sub.&quot;"/>
        <s v="[ASM][AssetStrategy][MaintenancePlans] Table List - Change Request No. - Hyperlink - modal Final, SG preview, related SG"/>
        <s v="[ASM][AssetStrategy][MaintenancePlans] Table List - Submit Change Request Flow"/>
        <s v="[ASM][AssetStrategy][Revisions] Revision Details - Maintenance Plans"/>
        <s v="[ASM][AssetStrategy][Revisions] Revision Details - Risk Analysis"/>
        <s v="[ASM][AssetStrategy][Revisions] Revision Details - Risks and Tasks"/>
        <s v="[ASM][AssetStrategy][Revisions] Revision Details - Risks Details"/>
        <s v="[ASM][AssetStrategy][Revisions] Revision Details - Strategy Summary - Tab Details"/>
        <s v="[ASM][AssetStrategy][Revisions] Revision Details - Strategy Summary - Tab Summary"/>
        <s v="[ASM][AssetStrategy][Revisions] Revision Details - Task Details"/>
        <s v="[ASM][AssetStrategy][RisksAndTasks] Risk tap Details - Integrate AI Suggestion"/>
        <s v="[ASM][FE] Upgrade Version Angular"/>
        <s v="[ASM][SAP] add temporary trigger button for test retry SAP failed - call api schedule SAP"/>
        <s v="[BE][ASM][AssetStrategy] Sync all &quot;ASM Strategies&quot; to GCP"/>
        <s v="[Document] system and user manual, sonaqube result"/>
        <s v="[FE][Improvement][ASM][AssetStrategy][MaintenancePlans] Table List - Add logic to &quot;Work Center&quot; field"/>
        <s v="[FE][POC][ASM][AssetStrategy][MaintenancePlan] POC CMMS Final Form - UI Screen + Export Excel"/>
        <s v="[FE][RCA] POC powerpoint"/>
        <s v="[Improvement][Admin] User Management - Apply standard design for table list"/>
        <s v="[Improvement][ASM][AssetStrategy] All Table List - Change Design the shown numbers as total, select items, filter results"/>
        <s v="[Improvement][ASM][AssetStrategy] Excel Template File V4. #1"/>
        <s v="[Improvement][ASM][AssetStrategy] Excel Template File V4. #2"/>
        <s v="[Improvement][ASM][AssetStrategy] Strategies Table List V3. - Add column"/>
        <s v="[Improvement][ASM][AssetStrategy] Strategy Table list - Apply standard design for table list"/>
        <s v="[Improvement][ASM][AssetStrategy] Table List - Searching and Sorting field Unmitigated Matrix, Mitigated Matrix"/>
        <s v="[Improvement][ASM][AssetStrategy][MaintenancePlan] Converted interval value K = 000H"/>
        <s v="[Improvement][ASM][AssetStrategy][MaintenancePlan] Maintenance Plan table list - Apply standard design for table list"/>
        <s v="[Improvement][ASM][AssetStrategy][MaintenancePlans] Table List - Add dropdown &quot;Work Center&quot;"/>
        <s v="[Improvement][ASM][AssetStrategy][MaintenancePlans] Table List - After Submit CMMS - Add logic Submit button"/>
        <s v="[Improvement][ASM][AssetStrategy][Overview] Risk Matrix by Active Strategy Table list - Apply standard design for table list"/>
        <s v="[Improvement][ASM][AssetStrategy][Revision] disabled icon restore"/>
        <s v="[Improvement][ASM][AssetStrategy][Revision] Revision Table list - Apply standard design for table list"/>
        <s v="[Improvement][ASM][AssetStrategy][RisksAndTasks] Risk Details - Add Description for Failure Impact + Change Field Name"/>
        <s v="[Improvement][ASM][AssetStrategy][RisksAndTasks] Risk Details - Change Logic"/>
        <s v="[Improvement][ASM][AssetStrategy][RisksAndTasks] Risk/Task Panel - Change Icon Yellow Alert to Arrow Icon + Abbreviate Interval + SCE Tag"/>
        <s v="[Improvement][ASM][AssetStrategy][RisksAndTasks] Scale Bar - Icon U / M"/>
        <s v="[Improvement][ASM][AssetStrategy][RisksAndTasks] Task Details - Set default ROI to &quot;-1&quot;"/>
        <s v="[Improvement][ASM][AssetStrategy][RisksAndTasks] Task Details V3."/>
        <s v="[Improvement][ASM][AssetStrategy][SummaryDetails] Change default &quot;Plant Length =20&quot;"/>
        <s v="[Improvement][ASM][BE] tuning performance Graph"/>
        <s v="[Improvement][ASM][BE+FE] Abbreviate number when exceeding digit threshold "/>
        <s v="[Improvement][ASM][CMMS] Submit CMMS -  Add PackageNo not found page"/>
        <s v="[Improvement][ASM][CMMS] Submit CMMS - Change logic field &quot;Updated Field&quot;"/>
        <s v="[Improvement][ASM][FE] Abbreviate number when exceeding digit threshold"/>
        <s v="[Improvement][ASM][RisksAndTasks] - Risk Detail / Task Detail - Add more suggestion"/>
        <s v="[Improvement][AssetStrategy][CMMS] Add column “SCE Group” + Prefill Operation Short Text + Add K logic"/>
        <s v="[Improvement][FE][ASM][RisksAndTasks] Risk Property - Add more suggestion to 3M, 6M, 12M, 18M, 24M"/>
        <s v="[Improvement][Home][GeneralDetails] My Task - Apply standard design for table list"/>
        <s v="[Improvement][Home][GeneralDetails] My Tasks - Add checked Group Permission for Waiting for Approval Box."/>
        <s v="[Improvement][MaintenancePlan][SAP] Integrate S4HANA - (B1)"/>
        <s v="[Improvement][RCA][createNewAnalysis] add asset when create new RCA + add validate input format &quot;RCA Case Name&quot;"/>
        <s v="[Improvement][RCA][createNewAnalysis] Add validation - Folder Name in Sharepoint"/>
        <s v="[Improvement][RCA][createNewAnalysis] change source of PTTEP Risk Matrix + Add last updated date"/>
        <s v="[Improvement][RCA][createNewAnalysis] Logic Tree - Main diagram"/>
        <s v="[Improvement][RCA][createNewAnalysis] Verification Actions - Table List - allow assigned group email from azure + add column &quot;Last Updated by&quot;"/>
        <s v="[Improvement][RCA][FE][createNewAnalysis] change save button name + change placeholder"/>
        <s v="[Improvement][SAP] change toast error message after submit CMMS"/>
        <s v="[Improvement][SAP] Error Handling from SAP response"/>
        <s v="[KT] knowledge transfer "/>
        <s v="[POC][FE][RCA] Logic Tree - Diagram"/>
        <s v="[RCA] Add Permission to all pages in RCA"/>
        <s v="[RCA] Export Report"/>
        <s v="[RCA] Export Report - ppt &gt;&gt; PDF"/>
        <s v="[RCA] Initial Layout"/>
        <s v="[RCA] Notification Email - Monthly 16th "/>
        <s v="[RCA] Notification Email - Monthly 1st"/>
        <s v="[RCA] Sharepoint Structure"/>
        <s v="[RCA][Approval Flow] Case Approval - Approval detail + progress - approver view"/>
        <s v="[RCA][Approval Flow] Case Approval - Approval detail + progress - Fa view"/>
        <s v="[RCA][Approval Flow] Case Approval - Approval detail + progress - viewer"/>
        <s v="[RCA][Approval Flow] Case Approval - Approval History"/>
        <s v="[RCA][Approval Flow] Case Approval - Approval Progress - Super User view"/>
        <s v="[RCA][Approval Flow] Case Approval - Noti Email - Inform"/>
        <s v="[RCA][Approval Flow] Case Status - Permission"/>
        <s v="[RCA][Approval Flow] RCA Approval Tracking modal - Structure"/>
        <s v="[RCA][Approval Flow] Submit RCA Case - “Start Investigation” button"/>
        <s v="[RCA][Approval Flow] Submit RCA Case - Approve"/>
        <s v="[RCA][Approval Flow] Submit RCA Case - Flow Start Investigation"/>
        <s v="[RCA][Approval Flow] Submit RCA Case - Implementing Action and Complete"/>
        <s v="[RCA][Approval Flow] Submit RCA Case - Waiting Verification"/>
        <s v="[RCA][createNewAnalysis] Case Background"/>
        <s v="[RCA][createNewAnalysis] Common Header"/>
        <s v="[RCA][createNewAnalysis] Dash Board - Graph"/>
        <s v="[RCA][createNewAnalysis] Dash Board - Table List - RCA Analysis(All)"/>
        <s v="[RCA][createNewAnalysis] Dash Board - Table List - RCA Recommendation (Pending) "/>
        <s v="[RCA][createNewAnalysis] Dash Board - Table List - RCA Verification (Pending)"/>
        <s v="[RCA][createNewAnalysis] Executive Summary"/>
        <s v="[RCA][createNewAnalysis] Executive Summary - Design Request/Response JSON for AI"/>
        <s v="[RCA][createNewAnalysis] Finding"/>
        <s v="[RCA][createNewAnalysis] Incident Timeline "/>
        <s v="[RCA][createNewAnalysis] Incident Timeline - Export PDF "/>
        <s v="[RCA][createNewAnalysis] Logic Tree"/>
        <s v="[RCA][createNewAnalysis] Logic Tree - Box Details"/>
        <s v="[RCA][createNewAnalysis] Logic Tree - Box Details - Actions"/>
        <s v="[RCA][createNewAnalysis] modal input Case name &gt;&gt; save draft"/>
        <s v="[RCA][createNewAnalysis] Other Recommendations"/>
        <s v="[RCA][createNewAnalysis] Problem Analysis"/>
        <s v="[RCA][createNewAnalysis] RCA Recommendations"/>
        <s v="[RCA][createNewAnalysis] Reference Document - Table 1"/>
        <s v="[RCA][createNewAnalysis] Reference Document - Table 2"/>
        <s v="[RCA][createNewAnalysis] Team Member "/>
        <s v="[RCA][createNewAnalysis] Verification Action"/>
        <s v="[RCA][createNewAnalysis] Verification Action - Noti"/>
        <s v="[RCA][Dashboard] RCA Analysis (All) - table list"/>
        <s v="[RCA][UserAccount] User Management - Role&amp;Permissions - Approval Flow - Add input setting"/>
        <s v="[RCA][UserAccount] User Management - Role&amp;Permissions - Approval Flow - display"/>
        <s v="[RCA][UserAccount] User Management - Role&amp;Permissions - Azure"/>
        <s v="[RCA][UserManagement] Master Data Setting &quot;RCA Type&quot;"/>
        <s v="[ServerError] HTTP Status Error 5xx"/>
        <s v="design and feedback loop #1"/>
        <s v="design and feedback loop #2"/>
        <s v="implement, deploy, and testing #1"/>
        <s v="implement, deploy, and testing #2"/>
        <s v="implement, deploy, and testing #3"/>
        <s v="implement, deploy, and testing #4"/>
      </sharedItems>
    </cacheField>
    <cacheField name="Sprint" numFmtId="0">
      <sharedItems containsSemiMixedTypes="0" containsString="0" containsNumber="1" containsInteger="1" minValue="18" maxValue="43" count="26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</sharedItems>
    </cacheField>
    <cacheField name="start" numFmtId="0">
      <sharedItems containsSemiMixedTypes="0" containsNonDate="0" containsDate="1" containsString="0" minDate="2026-01-05T00:00:00" maxDate="2026-12-14T00:00:00" count="26">
        <d v="2026-01-05T00:00:00"/>
        <d v="2026-01-12T00:00:00"/>
        <d v="2026-01-26T00:00:00"/>
        <d v="2026-02-09T00:00:00"/>
        <d v="2026-02-23T00:00:00"/>
        <d v="2026-03-09T00:00:00"/>
        <d v="2026-03-23T00:00:00"/>
        <d v="2026-04-06T00:00:00"/>
        <d v="2026-04-20T00:00:00"/>
        <d v="2026-05-04T00:00:00"/>
        <d v="2026-05-18T00:00:00"/>
        <d v="2026-06-01T00:00:00"/>
        <d v="2026-06-15T00:00:00"/>
        <d v="2026-06-29T00:00:00"/>
        <d v="2026-07-13T00:00:00"/>
        <d v="2026-07-27T00:00:00"/>
        <d v="2026-08-10T00:00:00"/>
        <d v="2026-08-24T00:00:00"/>
        <d v="2026-09-07T00:00:00"/>
        <d v="2026-09-21T00:00:00"/>
        <d v="2026-10-05T00:00:00"/>
        <d v="2026-10-19T00:00:00"/>
        <d v="2026-11-02T00:00:00"/>
        <d v="2026-11-16T00:00:00"/>
        <d v="2026-11-30T00:00:00"/>
        <d v="2026-12-14T00:00:00"/>
      </sharedItems>
    </cacheField>
    <cacheField name="end" numFmtId="0">
      <sharedItems containsSemiMixedTypes="0" containsNonDate="0" containsDate="1" containsString="0" minDate="2026-01-09T00:00:00" maxDate="2026-12-25T00:00:00" count="26">
        <d v="2026-01-09T00:00:00"/>
        <d v="2026-01-23T00:00:00"/>
        <d v="2026-02-06T00:00:00"/>
        <d v="2026-02-20T00:00:00"/>
        <d v="2026-03-06T00:00:00"/>
        <d v="2026-03-20T00:00:00"/>
        <d v="2026-04-03T00:00:00"/>
        <d v="2026-04-17T00:00:00"/>
        <d v="2026-05-01T00:00:00"/>
        <d v="2026-05-15T00:00:00"/>
        <d v="2026-05-29T00:00:00"/>
        <d v="2026-06-12T00:00:00"/>
        <d v="2026-06-26T00:00:00"/>
        <d v="2026-07-10T00:00:00"/>
        <d v="2026-07-24T00:00:00"/>
        <d v="2026-08-07T00:00:00"/>
        <d v="2026-08-21T00:00:00"/>
        <d v="2026-09-04T00:00:00"/>
        <d v="2026-09-18T00:00:00"/>
        <d v="2026-10-02T00:00:00"/>
        <d v="2026-10-16T00:00:00"/>
        <d v="2026-10-30T00:00:00"/>
        <d v="2026-11-13T00:00:00"/>
        <d v="2026-11-27T00:00:00"/>
        <d v="2026-12-11T00:00:00"/>
        <d v="2026-12-25T00:00:00"/>
      </sharedItems>
    </cacheField>
    <cacheField name="Status (1=Done, 0=Progress)" numFmtId="0">
      <sharedItems containsSemiMixedTypes="0" containsString="0" containsNumber="1" containsInteger="1" minValue="0" maxValue="1" count="2">
        <n v="0"/>
        <n v="1"/>
      </sharedItems>
    </cacheField>
    <cacheField name="Is Baseline" numFmtId="0">
      <sharedItems containsBlank="1" count="2">
        <s v="baseline"/>
        <m/>
      </sharedItems>
    </cacheField>
    <cacheField name="Change Type" numFmtId="0">
      <sharedItems containsBlank="1" count="6">
        <s v="added"/>
        <s v="moved"/>
        <s v="moved "/>
        <s v="removed"/>
        <s v="split"/>
        <m/>
      </sharedItems>
    </cacheField>
    <cacheField name="Note" numFmtId="0">
      <sharedItems containsBlank="1" count="20">
        <s v="add on"/>
        <s v="add on, no impact"/>
        <s v="breakdown 5217, move to sprint 30"/>
        <s v="breakdown 5234"/>
        <s v="breakdown 5235"/>
        <s v="breakdown to srpint 32"/>
        <s v="email noti"/>
        <s v="integration"/>
        <s v="move to 28"/>
        <s v="move to 29"/>
        <s v="move to backlog"/>
        <s v="move to sprint 30"/>
        <s v="move to sprint 31, breakdown 5034, 5035, 5020"/>
        <s v="move to sprint 31, breakerdown 5038, 5058"/>
        <s v="move to sprint 31, breakerdown 5056, 5057, 5036, 5037"/>
        <s v="move to sprint 32"/>
        <s v="move to sprint 33"/>
        <s v="rca"/>
        <s v="remo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5.383092476863" createdVersion="8" refreshedVersion="8" minRefreshableVersion="3" recordCount="27" xr:uid="{00000000-000A-0000-FFFF-FFFF0A000000}">
  <cacheSource type="worksheet">
    <worksheetSource ref="A5:G32" sheet="sprintday"/>
  </cacheSource>
  <cacheFields count="7">
    <cacheField name="Sprint" numFmtId="0">
      <sharedItems containsSemiMixedTypes="0" containsString="0" containsNumber="1" containsInteger="1" minValue="18" maxValue="44" count="27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</sharedItems>
    </cacheField>
    <cacheField name="Start Date _x000a_(Mon)" numFmtId="15">
      <sharedItems containsSemiMixedTypes="0" containsNonDate="0" containsDate="1" containsString="0" minDate="2026-01-05T00:00:00" maxDate="2026-12-29T00:00:00"/>
    </cacheField>
    <cacheField name="End Date _x000a_(Fri)" numFmtId="15">
      <sharedItems containsSemiMixedTypes="0" containsNonDate="0" containsDate="1" containsString="0" minDate="2026-01-09T00:00:00" maxDate="2027-01-09T00:00:00"/>
    </cacheField>
    <cacheField name="Working Day" numFmtId="0">
      <sharedItems containsSemiMixedTypes="0" containsString="0" containsNumber="1" containsInteger="1" minValue="5" maxValue="10"/>
    </cacheField>
    <cacheField name="Est. Story Point" numFmtId="0">
      <sharedItems containsSemiMixedTypes="0" containsString="0" containsNumber="1" containsInteger="1" minValue="15" maxValue="30"/>
    </cacheField>
    <cacheField name="% Weight _x000a_Resoure Sprint Utilize" numFmtId="9">
      <sharedItems containsSemiMixedTypes="0" containsString="0" containsNumber="1" minValue="0.5" maxValue="1"/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8.476977314807" createdVersion="8" refreshedVersion="8" minRefreshableVersion="3" recordCount="162" xr:uid="{00000000-000A-0000-FFFF-FFFF0B000000}">
  <cacheSource type="worksheet">
    <worksheetSource ref="A1:H163" sheet="baseline v4"/>
  </cacheSource>
  <cacheFields count="8">
    <cacheField name="Module" numFmtId="0">
      <sharedItems containsBlank="1" count="5">
        <s v="asm"/>
        <s v="rca"/>
        <m/>
        <s v="ui improvement"/>
        <s v="handover"/>
      </sharedItems>
    </cacheField>
    <cacheField name="Feature Name" numFmtId="0">
      <sharedItems containsBlank="1"/>
    </cacheField>
    <cacheField name="User Story ID" numFmtId="0">
      <sharedItems containsBlank="1"/>
    </cacheField>
    <cacheField name="User Story Description" numFmtId="0">
      <sharedItems/>
    </cacheField>
    <cacheField name="Sprint" numFmtId="0">
      <sharedItems containsSemiMixedTypes="0" containsString="0" containsNumber="1" containsInteger="1" minValue="18" maxValue="43"/>
    </cacheField>
    <cacheField name="start" numFmtId="15">
      <sharedItems containsSemiMixedTypes="0" containsNonDate="0" containsDate="1" containsString="0" minDate="2026-01-05T00:00:00" maxDate="2026-12-15T00:00:00"/>
    </cacheField>
    <cacheField name="end" numFmtId="15">
      <sharedItems containsSemiMixedTypes="0" containsNonDate="0" containsDate="1" containsString="0" minDate="2026-01-09T00:00:00" maxDate="2026-12-26T00:00:00"/>
    </cacheField>
    <cacheField name="Status (1=Done, 0=Progress)" numFmtId="1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2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3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4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5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Cache/pivotCacheRecords6.xml><?xml version="1.0" encoding="utf-8"?>
<pivotCacheRecords xmlns="http://schemas.openxmlformats.org/spreadsheetml/2006/main" count="162">
  <r>
    <x v="0"/>
    <x v="0"/>
    <s v="EAPM-906"/>
    <x v="0"/>
    <n v="18"/>
    <d v="2026-01-05T00:00:00"/>
    <d v="2026-01-09T00:00:00"/>
    <n v="1"/>
    <x v="0"/>
    <x v="0"/>
    <s v="email noti"/>
  </r>
  <r>
    <x v="0"/>
    <x v="0"/>
    <s v="EAPM-278"/>
    <x v="1"/>
    <n v="18"/>
    <d v="2026-01-05T00:00:00"/>
    <d v="2026-01-09T00:00:00"/>
    <n v="1"/>
    <x v="0"/>
    <x v="0"/>
    <s v="email noti"/>
  </r>
  <r>
    <x v="0"/>
    <x v="0"/>
    <s v="EAPM-923"/>
    <x v="2"/>
    <n v="18"/>
    <d v="2026-01-05T00:00:00"/>
    <d v="2026-01-09T00:00:00"/>
    <n v="1"/>
    <x v="0"/>
    <x v="0"/>
    <s v="email noti"/>
  </r>
  <r>
    <x v="0"/>
    <x v="0"/>
    <s v="EAPM-244"/>
    <x v="3"/>
    <n v="18"/>
    <d v="2026-01-05T00:00:00"/>
    <d v="2026-01-09T00:00:00"/>
    <n v="1"/>
    <x v="0"/>
    <x v="0"/>
    <s v="email noti"/>
  </r>
  <r>
    <x v="0"/>
    <x v="0"/>
    <s v="EAPM-922"/>
    <x v="4"/>
    <n v="18"/>
    <d v="2026-01-05T00:00:00"/>
    <d v="2026-01-09T00:00:00"/>
    <n v="1"/>
    <x v="0"/>
    <x v="0"/>
    <s v="integration"/>
  </r>
  <r>
    <x v="0"/>
    <x v="0"/>
    <s v="EAPM-919"/>
    <x v="5"/>
    <n v="18"/>
    <d v="2026-01-05T00:00:00"/>
    <d v="2026-01-09T00:00:00"/>
    <n v="1"/>
    <x v="0"/>
    <x v="0"/>
    <s v="integration"/>
  </r>
  <r>
    <x v="0"/>
    <x v="0"/>
    <s v="EAPM-882"/>
    <x v="6"/>
    <n v="18"/>
    <d v="2026-01-05T00:00:00"/>
    <d v="2026-01-09T00:00:00"/>
    <n v="1"/>
    <x v="0"/>
    <x v="0"/>
    <s v="integration"/>
  </r>
  <r>
    <x v="0"/>
    <x v="0"/>
    <s v="EAPM-1071"/>
    <x v="7"/>
    <n v="18"/>
    <d v="2026-01-05T00:00:00"/>
    <d v="2026-01-09T00:00:00"/>
    <n v="1"/>
    <x v="0"/>
    <x v="0"/>
    <s v="integration"/>
  </r>
  <r>
    <x v="0"/>
    <x v="0"/>
    <s v="EAPM-10"/>
    <x v="8"/>
    <n v="19"/>
    <d v="2026-01-12T00:00:00"/>
    <d v="2026-01-23T00:00:00"/>
    <n v="1"/>
    <x v="0"/>
    <x v="0"/>
    <m/>
  </r>
  <r>
    <x v="0"/>
    <x v="0"/>
    <s v="EAPM-11"/>
    <x v="9"/>
    <n v="19"/>
    <d v="2026-01-12T00:00:00"/>
    <d v="2026-01-23T00:00:00"/>
    <n v="1"/>
    <x v="0"/>
    <x v="0"/>
    <m/>
  </r>
  <r>
    <x v="0"/>
    <x v="0"/>
    <s v="EAPM-7"/>
    <x v="10"/>
    <n v="19"/>
    <d v="2026-01-12T00:00:00"/>
    <d v="2026-01-23T00:00:00"/>
    <n v="1"/>
    <x v="0"/>
    <x v="0"/>
    <m/>
  </r>
  <r>
    <x v="0"/>
    <x v="0"/>
    <s v="EAPM-25"/>
    <x v="11"/>
    <n v="19"/>
    <d v="2026-01-12T00:00:00"/>
    <d v="2026-01-23T00:00:00"/>
    <n v="1"/>
    <x v="0"/>
    <x v="0"/>
    <m/>
  </r>
  <r>
    <x v="0"/>
    <x v="0"/>
    <s v="EAPM-26"/>
    <x v="12"/>
    <n v="19"/>
    <d v="2026-01-12T00:00:00"/>
    <d v="2026-01-23T00:00:00"/>
    <n v="1"/>
    <x v="0"/>
    <x v="0"/>
    <m/>
  </r>
  <r>
    <x v="0"/>
    <x v="0"/>
    <s v="EAPM-8"/>
    <x v="13"/>
    <n v="19"/>
    <d v="2026-01-12T00:00:00"/>
    <d v="2026-01-23T00:00:00"/>
    <n v="1"/>
    <x v="0"/>
    <x v="0"/>
    <m/>
  </r>
  <r>
    <x v="0"/>
    <x v="0"/>
    <s v="EAPM-9"/>
    <x v="14"/>
    <n v="19"/>
    <d v="2026-01-12T00:00:00"/>
    <d v="2026-01-23T00:00:00"/>
    <n v="1"/>
    <x v="0"/>
    <x v="0"/>
    <m/>
  </r>
  <r>
    <x v="0"/>
    <x v="0"/>
    <s v="EAPM-1255"/>
    <x v="15"/>
    <n v="19"/>
    <d v="2026-01-12T00:00:00"/>
    <d v="2026-01-23T00:00:00"/>
    <n v="1"/>
    <x v="0"/>
    <x v="0"/>
    <m/>
  </r>
  <r>
    <x v="0"/>
    <x v="0"/>
    <s v="EAPM-1302"/>
    <x v="16"/>
    <n v="19"/>
    <d v="2026-01-12T00:00:00"/>
    <d v="2026-01-23T00:00:00"/>
    <n v="1"/>
    <x v="0"/>
    <x v="0"/>
    <m/>
  </r>
  <r>
    <x v="0"/>
    <x v="0"/>
    <s v="EAPM-1303"/>
    <x v="17"/>
    <n v="19"/>
    <d v="2026-01-12T00:00:00"/>
    <d v="2026-01-23T00:00:00"/>
    <n v="1"/>
    <x v="0"/>
    <x v="0"/>
    <m/>
  </r>
  <r>
    <x v="0"/>
    <x v="0"/>
    <s v="EAPM-1304"/>
    <x v="18"/>
    <n v="19"/>
    <d v="2026-01-12T00:00:00"/>
    <d v="2026-01-23T00:00:00"/>
    <n v="1"/>
    <x v="0"/>
    <x v="0"/>
    <m/>
  </r>
  <r>
    <x v="0"/>
    <x v="0"/>
    <s v="EAPM-1392"/>
    <x v="19"/>
    <n v="19"/>
    <d v="2026-01-12T00:00:00"/>
    <d v="2026-01-23T00:00:00"/>
    <n v="1"/>
    <x v="0"/>
    <x v="0"/>
    <m/>
  </r>
  <r>
    <x v="0"/>
    <x v="0"/>
    <s v="EAPM-1393"/>
    <x v="20"/>
    <n v="19"/>
    <d v="2026-01-12T00:00:00"/>
    <d v="2026-01-23T00:00:00"/>
    <n v="1"/>
    <x v="0"/>
    <x v="0"/>
    <m/>
  </r>
  <r>
    <x v="0"/>
    <x v="0"/>
    <s v="EAPM-1394"/>
    <x v="21"/>
    <n v="19"/>
    <d v="2026-01-12T00:00:00"/>
    <d v="2026-01-23T00:00:00"/>
    <n v="1"/>
    <x v="0"/>
    <x v="0"/>
    <m/>
  </r>
  <r>
    <x v="0"/>
    <x v="1"/>
    <s v="EAPM-1150"/>
    <x v="22"/>
    <n v="20"/>
    <d v="2026-01-26T00:00:00"/>
    <d v="2026-02-06T00:00:00"/>
    <n v="1"/>
    <x v="0"/>
    <x v="0"/>
    <m/>
  </r>
  <r>
    <x v="0"/>
    <x v="1"/>
    <s v="EAPM-349"/>
    <x v="23"/>
    <n v="20"/>
    <d v="2026-01-26T00:00:00"/>
    <d v="2026-02-06T00:00:00"/>
    <n v="1"/>
    <x v="0"/>
    <x v="0"/>
    <m/>
  </r>
  <r>
    <x v="0"/>
    <x v="1"/>
    <s v="EAPM-1309"/>
    <x v="24"/>
    <n v="20"/>
    <d v="2026-01-26T00:00:00"/>
    <d v="2026-02-06T00:00:00"/>
    <n v="1"/>
    <x v="0"/>
    <x v="0"/>
    <m/>
  </r>
  <r>
    <x v="0"/>
    <x v="1"/>
    <s v="EAPM-2000"/>
    <x v="25"/>
    <n v="20"/>
    <d v="2026-01-26T00:00:00"/>
    <d v="2026-02-06T00:00:00"/>
    <n v="1"/>
    <x v="0"/>
    <x v="0"/>
    <m/>
  </r>
  <r>
    <x v="0"/>
    <x v="1"/>
    <s v="EAPM-1999"/>
    <x v="26"/>
    <n v="20"/>
    <d v="2026-01-26T00:00:00"/>
    <d v="2026-02-06T00:00:00"/>
    <n v="1"/>
    <x v="0"/>
    <x v="0"/>
    <m/>
  </r>
  <r>
    <x v="0"/>
    <x v="1"/>
    <s v="EAPM-1585"/>
    <x v="27"/>
    <n v="20"/>
    <d v="2026-01-26T00:00:00"/>
    <d v="2026-02-06T00:00:00"/>
    <n v="1"/>
    <x v="0"/>
    <x v="0"/>
    <m/>
  </r>
  <r>
    <x v="0"/>
    <x v="1"/>
    <s v="EAPM-1883"/>
    <x v="28"/>
    <n v="20"/>
    <d v="2026-01-26T00:00:00"/>
    <d v="2026-02-06T00:00:00"/>
    <n v="1"/>
    <x v="0"/>
    <x v="0"/>
    <m/>
  </r>
  <r>
    <x v="0"/>
    <x v="1"/>
    <s v="EAPM-2003"/>
    <x v="29"/>
    <n v="20"/>
    <d v="2026-01-26T00:00:00"/>
    <d v="2026-02-06T00:00:00"/>
    <n v="1"/>
    <x v="0"/>
    <x v="0"/>
    <m/>
  </r>
  <r>
    <x v="0"/>
    <x v="1"/>
    <s v="EAPM-2006"/>
    <x v="30"/>
    <n v="20"/>
    <d v="2026-01-26T00:00:00"/>
    <d v="2026-02-06T00:00:00"/>
    <n v="1"/>
    <x v="0"/>
    <x v="0"/>
    <m/>
  </r>
  <r>
    <x v="0"/>
    <x v="1"/>
    <s v="EAPM-2004"/>
    <x v="31"/>
    <n v="20"/>
    <d v="2026-01-26T00:00:00"/>
    <d v="2026-02-06T00:00:00"/>
    <n v="1"/>
    <x v="0"/>
    <x v="0"/>
    <m/>
  </r>
  <r>
    <x v="0"/>
    <x v="1"/>
    <s v="EAPM-1314"/>
    <x v="32"/>
    <n v="20"/>
    <d v="2026-01-26T00:00:00"/>
    <d v="2026-02-06T00:00:00"/>
    <n v="1"/>
    <x v="0"/>
    <x v="0"/>
    <m/>
  </r>
  <r>
    <x v="0"/>
    <x v="1"/>
    <s v="EAPM-599"/>
    <x v="33"/>
    <n v="20"/>
    <d v="2026-01-26T00:00:00"/>
    <d v="2026-02-06T00:00:00"/>
    <n v="1"/>
    <x v="0"/>
    <x v="0"/>
    <m/>
  </r>
  <r>
    <x v="0"/>
    <x v="1"/>
    <s v="EAPM-1305"/>
    <x v="34"/>
    <n v="20"/>
    <d v="2026-01-26T00:00:00"/>
    <d v="2026-02-06T00:00:00"/>
    <n v="1"/>
    <x v="0"/>
    <x v="0"/>
    <m/>
  </r>
  <r>
    <x v="0"/>
    <x v="1"/>
    <s v="EAPM-1799"/>
    <x v="35"/>
    <n v="20"/>
    <d v="2026-01-26T00:00:00"/>
    <d v="2026-02-06T00:00:00"/>
    <n v="1"/>
    <x v="0"/>
    <x v="0"/>
    <m/>
  </r>
  <r>
    <x v="0"/>
    <x v="1"/>
    <s v="EAPM-2423"/>
    <x v="36"/>
    <n v="21"/>
    <d v="2026-02-09T00:00:00"/>
    <d v="2026-02-20T00:00:00"/>
    <n v="1"/>
    <x v="0"/>
    <x v="0"/>
    <m/>
  </r>
  <r>
    <x v="0"/>
    <x v="1"/>
    <s v="EAPM-2487"/>
    <x v="37"/>
    <n v="21"/>
    <d v="2026-02-09T00:00:00"/>
    <d v="2026-02-20T00:00:00"/>
    <n v="1"/>
    <x v="0"/>
    <x v="0"/>
    <m/>
  </r>
  <r>
    <x v="0"/>
    <x v="1"/>
    <s v="EAPM-33"/>
    <x v="38"/>
    <n v="21"/>
    <d v="2026-02-09T00:00:00"/>
    <d v="2026-02-20T00:00:00"/>
    <n v="1"/>
    <x v="0"/>
    <x v="0"/>
    <m/>
  </r>
  <r>
    <x v="0"/>
    <x v="1"/>
    <s v="EAPM-1306"/>
    <x v="39"/>
    <n v="21"/>
    <d v="2026-02-09T00:00:00"/>
    <d v="2026-02-20T00:00:00"/>
    <n v="1"/>
    <x v="0"/>
    <x v="0"/>
    <m/>
  </r>
  <r>
    <x v="0"/>
    <x v="1"/>
    <s v="EAPM-1801"/>
    <x v="40"/>
    <n v="21"/>
    <d v="2026-02-09T00:00:00"/>
    <d v="2026-02-20T00:00:00"/>
    <n v="1"/>
    <x v="0"/>
    <x v="0"/>
    <m/>
  </r>
  <r>
    <x v="0"/>
    <x v="1"/>
    <s v="EAPM-1955"/>
    <x v="41"/>
    <n v="21"/>
    <d v="2026-02-09T00:00:00"/>
    <d v="2026-02-20T00:00:00"/>
    <n v="1"/>
    <x v="0"/>
    <x v="0"/>
    <m/>
  </r>
  <r>
    <x v="0"/>
    <x v="1"/>
    <s v="EAPM-1307"/>
    <x v="42"/>
    <n v="21"/>
    <d v="2026-02-09T00:00:00"/>
    <d v="2026-02-20T00:00:00"/>
    <n v="1"/>
    <x v="0"/>
    <x v="0"/>
    <m/>
  </r>
  <r>
    <x v="0"/>
    <x v="1"/>
    <s v="EAPM-2486"/>
    <x v="43"/>
    <n v="21"/>
    <d v="2026-02-09T00:00:00"/>
    <d v="2026-02-20T00:00:00"/>
    <n v="1"/>
    <x v="0"/>
    <x v="0"/>
    <m/>
  </r>
  <r>
    <x v="0"/>
    <x v="2"/>
    <s v="EAPM-1308"/>
    <x v="44"/>
    <n v="22"/>
    <d v="2026-02-23T00:00:00"/>
    <d v="2026-03-06T00:00:00"/>
    <n v="1"/>
    <x v="0"/>
    <x v="0"/>
    <m/>
  </r>
  <r>
    <x v="0"/>
    <x v="2"/>
    <s v="EAPM-1310"/>
    <x v="45"/>
    <n v="22"/>
    <d v="2026-02-23T00:00:00"/>
    <d v="2026-03-06T00:00:00"/>
    <n v="1"/>
    <x v="0"/>
    <x v="0"/>
    <m/>
  </r>
  <r>
    <x v="0"/>
    <x v="2"/>
    <s v="EAPM-1844"/>
    <x v="46"/>
    <n v="22"/>
    <d v="2026-02-23T00:00:00"/>
    <d v="2026-03-06T00:00:00"/>
    <n v="1"/>
    <x v="0"/>
    <x v="0"/>
    <m/>
  </r>
  <r>
    <x v="0"/>
    <x v="2"/>
    <s v="EAPM-1311"/>
    <x v="47"/>
    <n v="22"/>
    <d v="2026-02-23T00:00:00"/>
    <d v="2026-03-06T00:00:00"/>
    <n v="1"/>
    <x v="0"/>
    <x v="0"/>
    <m/>
  </r>
  <r>
    <x v="0"/>
    <x v="2"/>
    <s v="EAPM-1312"/>
    <x v="48"/>
    <n v="22"/>
    <d v="2026-02-23T00:00:00"/>
    <d v="2026-03-06T00:00:00"/>
    <n v="1"/>
    <x v="0"/>
    <x v="0"/>
    <m/>
  </r>
  <r>
    <x v="0"/>
    <x v="2"/>
    <s v="EAPM-1845"/>
    <x v="49"/>
    <n v="22"/>
    <d v="2026-02-23T00:00:00"/>
    <d v="2026-03-06T00:00:00"/>
    <n v="1"/>
    <x v="0"/>
    <x v="0"/>
    <m/>
  </r>
  <r>
    <x v="0"/>
    <x v="2"/>
    <s v="EAPM-1313"/>
    <x v="50"/>
    <n v="22"/>
    <d v="2026-02-23T00:00:00"/>
    <d v="2026-03-06T00:00:00"/>
    <n v="1"/>
    <x v="0"/>
    <x v="0"/>
    <m/>
  </r>
  <r>
    <x v="0"/>
    <x v="1"/>
    <s v="EAPM-2745"/>
    <x v="51"/>
    <n v="22"/>
    <d v="2026-02-23T00:00:00"/>
    <d v="2026-03-06T00:00:00"/>
    <n v="1"/>
    <x v="0"/>
    <x v="0"/>
    <m/>
  </r>
  <r>
    <x v="0"/>
    <x v="1"/>
    <s v="EAPM-2779"/>
    <x v="52"/>
    <n v="22"/>
    <d v="2026-02-23T00:00:00"/>
    <d v="2026-03-06T00:00:00"/>
    <n v="1"/>
    <x v="0"/>
    <x v="0"/>
    <m/>
  </r>
  <r>
    <x v="0"/>
    <x v="1"/>
    <s v="EAPM-2780"/>
    <x v="53"/>
    <n v="22"/>
    <d v="2026-02-23T00:00:00"/>
    <d v="2026-03-06T00:00:00"/>
    <n v="1"/>
    <x v="0"/>
    <x v="0"/>
    <m/>
  </r>
  <r>
    <x v="0"/>
    <x v="1"/>
    <s v="EAPM-2759"/>
    <x v="54"/>
    <n v="22"/>
    <d v="2026-02-23T00:00:00"/>
    <d v="2026-03-06T00:00:00"/>
    <n v="1"/>
    <x v="0"/>
    <x v="0"/>
    <m/>
  </r>
  <r>
    <x v="0"/>
    <x v="1"/>
    <s v="EAPM-1318"/>
    <x v="55"/>
    <n v="23"/>
    <d v="2026-03-09T00:00:00"/>
    <d v="2026-03-20T00:00:00"/>
    <n v="1"/>
    <x v="0"/>
    <x v="0"/>
    <m/>
  </r>
  <r>
    <x v="0"/>
    <x v="1"/>
    <s v="EAPM-32"/>
    <x v="56"/>
    <n v="23"/>
    <d v="2026-03-09T00:00:00"/>
    <d v="2026-03-20T00:00:00"/>
    <n v="1"/>
    <x v="0"/>
    <x v="0"/>
    <m/>
  </r>
  <r>
    <x v="0"/>
    <x v="1"/>
    <s v="EAPM-1803"/>
    <x v="57"/>
    <n v="23"/>
    <d v="2026-03-09T00:00:00"/>
    <d v="2026-03-20T00:00:00"/>
    <n v="1"/>
    <x v="0"/>
    <x v="0"/>
    <m/>
  </r>
  <r>
    <x v="0"/>
    <x v="1"/>
    <s v="EAPM-2488"/>
    <x v="58"/>
    <n v="23"/>
    <d v="2026-03-09T00:00:00"/>
    <d v="2026-03-20T00:00:00"/>
    <n v="1"/>
    <x v="0"/>
    <x v="0"/>
    <m/>
  </r>
  <r>
    <x v="0"/>
    <x v="1"/>
    <s v="EAPM-2672"/>
    <x v="59"/>
    <n v="23"/>
    <d v="2026-03-09T00:00:00"/>
    <d v="2026-03-20T00:00:00"/>
    <n v="1"/>
    <x v="0"/>
    <x v="0"/>
    <m/>
  </r>
  <r>
    <x v="0"/>
    <x v="1"/>
    <s v="EAPM-2945"/>
    <x v="60"/>
    <n v="23"/>
    <d v="2026-03-09T00:00:00"/>
    <d v="2026-03-20T00:00:00"/>
    <n v="1"/>
    <x v="0"/>
    <x v="0"/>
    <m/>
  </r>
  <r>
    <x v="0"/>
    <x v="1"/>
    <s v="EAPM-2946"/>
    <x v="61"/>
    <n v="23"/>
    <d v="2026-03-09T00:00:00"/>
    <d v="2026-03-20T00:00:00"/>
    <n v="1"/>
    <x v="0"/>
    <x v="0"/>
    <m/>
  </r>
  <r>
    <x v="0"/>
    <x v="1"/>
    <s v="EAPM-2007"/>
    <x v="62"/>
    <n v="24"/>
    <d v="2026-03-23T00:00:00"/>
    <d v="2026-04-03T00:00:00"/>
    <n v="1"/>
    <x v="0"/>
    <x v="0"/>
    <m/>
  </r>
  <r>
    <x v="0"/>
    <x v="1"/>
    <s v="EAPM-2933"/>
    <x v="63"/>
    <n v="24"/>
    <d v="2026-03-23T00:00:00"/>
    <d v="2026-04-03T00:00:00"/>
    <n v="1"/>
    <x v="0"/>
    <x v="0"/>
    <m/>
  </r>
  <r>
    <x v="0"/>
    <x v="1"/>
    <s v="EAPM-2934"/>
    <x v="64"/>
    <n v="24"/>
    <d v="2026-03-23T00:00:00"/>
    <d v="2026-04-03T00:00:00"/>
    <n v="1"/>
    <x v="0"/>
    <x v="0"/>
    <m/>
  </r>
  <r>
    <x v="0"/>
    <x v="1"/>
    <s v="EAPM-2935"/>
    <x v="65"/>
    <n v="24"/>
    <d v="2026-03-23T00:00:00"/>
    <d v="2026-04-03T00:00:00"/>
    <n v="1"/>
    <x v="0"/>
    <x v="0"/>
    <m/>
  </r>
  <r>
    <x v="0"/>
    <x v="1"/>
    <s v="EAPM-2936"/>
    <x v="66"/>
    <n v="24"/>
    <d v="2026-03-23T00:00:00"/>
    <d v="2026-04-03T00:00:00"/>
    <n v="1"/>
    <x v="0"/>
    <x v="0"/>
    <m/>
  </r>
  <r>
    <x v="0"/>
    <x v="1"/>
    <s v="EAPM-2937"/>
    <x v="67"/>
    <n v="24"/>
    <d v="2026-03-23T00:00:00"/>
    <d v="2026-04-03T00:00:00"/>
    <n v="1"/>
    <x v="0"/>
    <x v="0"/>
    <m/>
  </r>
  <r>
    <x v="0"/>
    <x v="1"/>
    <s v="EAPM-2362"/>
    <x v="68"/>
    <n v="24"/>
    <d v="2026-03-23T00:00:00"/>
    <d v="2026-04-03T00:00:00"/>
    <n v="1"/>
    <x v="0"/>
    <x v="0"/>
    <m/>
  </r>
  <r>
    <x v="0"/>
    <x v="1"/>
    <s v="EAPM-3352"/>
    <x v="69"/>
    <n v="24"/>
    <d v="2026-03-23T00:00:00"/>
    <d v="2026-04-03T00:00:00"/>
    <n v="1"/>
    <x v="0"/>
    <x v="0"/>
    <m/>
  </r>
  <r>
    <x v="0"/>
    <x v="1"/>
    <s v="EAPM-3448"/>
    <x v="70"/>
    <n v="24"/>
    <d v="2026-03-23T00:00:00"/>
    <d v="2026-04-03T00:00:00"/>
    <n v="1"/>
    <x v="0"/>
    <x v="0"/>
    <m/>
  </r>
  <r>
    <x v="0"/>
    <x v="1"/>
    <s v="EAPM-2653"/>
    <x v="71"/>
    <n v="24"/>
    <d v="2026-03-23T00:00:00"/>
    <d v="2026-04-03T00:00:00"/>
    <n v="1"/>
    <x v="0"/>
    <x v="0"/>
    <m/>
  </r>
  <r>
    <x v="0"/>
    <x v="1"/>
    <s v="EAPM-3445"/>
    <x v="72"/>
    <n v="24"/>
    <d v="2026-03-23T00:00:00"/>
    <d v="2026-04-03T00:00:00"/>
    <n v="1"/>
    <x v="0"/>
    <x v="0"/>
    <s v="rca"/>
  </r>
  <r>
    <x v="0"/>
    <x v="1"/>
    <s v="EAPM-3717"/>
    <x v="73"/>
    <n v="25"/>
    <d v="2026-04-06T00:00:00"/>
    <d v="2026-04-17T00:00:00"/>
    <n v="1"/>
    <x v="0"/>
    <x v="0"/>
    <m/>
  </r>
  <r>
    <x v="0"/>
    <x v="1"/>
    <s v="EAPM-3727"/>
    <x v="74"/>
    <n v="25"/>
    <d v="2026-04-06T00:00:00"/>
    <d v="2026-04-17T00:00:00"/>
    <n v="1"/>
    <x v="0"/>
    <x v="0"/>
    <m/>
  </r>
  <r>
    <x v="0"/>
    <x v="1"/>
    <s v="EAPM-1160"/>
    <x v="75"/>
    <n v="25"/>
    <d v="2026-04-06T00:00:00"/>
    <d v="2026-04-17T00:00:00"/>
    <n v="1"/>
    <x v="0"/>
    <x v="0"/>
    <m/>
  </r>
  <r>
    <x v="0"/>
    <x v="1"/>
    <s v="EAPM-3797"/>
    <x v="76"/>
    <n v="25"/>
    <d v="2026-04-06T00:00:00"/>
    <d v="2026-04-17T00:00:00"/>
    <n v="1"/>
    <x v="0"/>
    <x v="0"/>
    <s v="rca"/>
  </r>
  <r>
    <x v="0"/>
    <x v="1"/>
    <s v="EAPM-3875"/>
    <x v="77"/>
    <n v="25"/>
    <d v="2026-04-06T00:00:00"/>
    <d v="2026-04-17T00:00:00"/>
    <n v="1"/>
    <x v="0"/>
    <x v="0"/>
    <m/>
  </r>
  <r>
    <x v="0"/>
    <x v="1"/>
    <s v="EAPM-4027"/>
    <x v="78"/>
    <n v="26"/>
    <d v="2026-04-20T00:00:00"/>
    <d v="2026-05-01T00:00:00"/>
    <n v="1"/>
    <x v="0"/>
    <x v="0"/>
    <m/>
  </r>
  <r>
    <x v="0"/>
    <x v="1"/>
    <s v="EAPM-4042"/>
    <x v="79"/>
    <n v="26"/>
    <d v="2026-04-20T00:00:00"/>
    <d v="2026-05-01T00:00:00"/>
    <n v="1"/>
    <x v="0"/>
    <x v="0"/>
    <m/>
  </r>
  <r>
    <x v="0"/>
    <x v="1"/>
    <s v="EAPM-3671"/>
    <x v="80"/>
    <n v="26"/>
    <d v="2026-04-20T00:00:00"/>
    <d v="2026-05-01T00:00:00"/>
    <n v="1"/>
    <x v="0"/>
    <x v="0"/>
    <m/>
  </r>
  <r>
    <x v="0"/>
    <x v="1"/>
    <s v="EAPM-3355"/>
    <x v="81"/>
    <n v="26"/>
    <d v="2026-04-20T00:00:00"/>
    <d v="2026-05-01T00:00:00"/>
    <n v="1"/>
    <x v="0"/>
    <x v="0"/>
    <m/>
  </r>
  <r>
    <x v="0"/>
    <x v="1"/>
    <s v="EAPM-2653"/>
    <x v="71"/>
    <n v="26"/>
    <d v="2026-04-20T00:00:00"/>
    <d v="2026-05-01T00:00:00"/>
    <n v="1"/>
    <x v="0"/>
    <x v="0"/>
    <m/>
  </r>
  <r>
    <x v="0"/>
    <x v="1"/>
    <s v="EAPM-1317"/>
    <x v="82"/>
    <n v="26"/>
    <d v="2026-04-20T00:00:00"/>
    <d v="2026-05-01T00:00:00"/>
    <n v="1"/>
    <x v="0"/>
    <x v="0"/>
    <m/>
  </r>
  <r>
    <x v="0"/>
    <x v="1"/>
    <s v="EAPM-1317"/>
    <x v="82"/>
    <n v="27"/>
    <d v="2026-05-04T00:00:00"/>
    <d v="2026-05-15T00:00:00"/>
    <n v="1"/>
    <x v="0"/>
    <x v="0"/>
    <m/>
  </r>
  <r>
    <x v="0"/>
    <x v="1"/>
    <s v="EAPM-1316"/>
    <x v="83"/>
    <n v="27"/>
    <d v="2026-05-04T00:00:00"/>
    <d v="2026-05-15T00:00:00"/>
    <n v="1"/>
    <x v="0"/>
    <x v="0"/>
    <m/>
  </r>
  <r>
    <x v="0"/>
    <x v="1"/>
    <s v="EAPM-2808"/>
    <x v="84"/>
    <n v="27"/>
    <d v="2026-05-04T00:00:00"/>
    <d v="2026-05-15T00:00:00"/>
    <n v="1"/>
    <x v="0"/>
    <x v="0"/>
    <m/>
  </r>
  <r>
    <x v="0"/>
    <x v="1"/>
    <s v="EAPM-3926"/>
    <x v="85"/>
    <n v="27"/>
    <d v="2026-05-04T00:00:00"/>
    <d v="2026-05-15T00:00:00"/>
    <n v="1"/>
    <x v="0"/>
    <x v="0"/>
    <m/>
  </r>
  <r>
    <x v="0"/>
    <x v="1"/>
    <s v="EAPM-2809"/>
    <x v="86"/>
    <n v="27"/>
    <d v="2026-05-04T00:00:00"/>
    <d v="2026-05-15T00:00:00"/>
    <n v="1"/>
    <x v="0"/>
    <x v="0"/>
    <m/>
  </r>
  <r>
    <x v="1"/>
    <x v="3"/>
    <s v="EAPM-4289"/>
    <x v="87"/>
    <n v="27"/>
    <d v="2026-05-04T00:00:00"/>
    <d v="2026-05-15T00:00:00"/>
    <n v="1"/>
    <x v="0"/>
    <x v="0"/>
    <m/>
  </r>
  <r>
    <x v="1"/>
    <x v="3"/>
    <s v="EAPM-3416"/>
    <x v="88"/>
    <n v="27"/>
    <d v="2026-05-04T00:00:00"/>
    <d v="2026-05-15T00:00:00"/>
    <n v="1"/>
    <x v="0"/>
    <x v="0"/>
    <m/>
  </r>
  <r>
    <x v="1"/>
    <x v="3"/>
    <s v="EAPM-4296"/>
    <x v="89"/>
    <n v="27"/>
    <d v="2026-05-04T00:00:00"/>
    <d v="2026-05-15T00:00:00"/>
    <n v="1"/>
    <x v="0"/>
    <x v="0"/>
    <m/>
  </r>
  <r>
    <x v="1"/>
    <x v="3"/>
    <s v="EAPM-3420"/>
    <x v="90"/>
    <n v="27"/>
    <d v="2026-05-04T00:00:00"/>
    <d v="2026-05-15T00:00:00"/>
    <n v="1"/>
    <x v="0"/>
    <x v="0"/>
    <m/>
  </r>
  <r>
    <x v="1"/>
    <x v="3"/>
    <s v="EAPM-1800"/>
    <x v="91"/>
    <n v="27"/>
    <d v="2026-05-04T00:00:00"/>
    <d v="2026-05-15T00:00:00"/>
    <n v="1"/>
    <x v="0"/>
    <x v="0"/>
    <m/>
  </r>
  <r>
    <x v="1"/>
    <x v="3"/>
    <s v="EAPM-4447"/>
    <x v="92"/>
    <n v="28"/>
    <d v="2026-05-18T00:00:00"/>
    <d v="2026-05-29T00:00:00"/>
    <n v="1"/>
    <x v="0"/>
    <x v="1"/>
    <s v="move to 28"/>
  </r>
  <r>
    <x v="1"/>
    <x v="3"/>
    <s v="EAPM-4356"/>
    <x v="93"/>
    <n v="27"/>
    <d v="2026-05-04T00:00:00"/>
    <d v="2026-05-15T00:00:00"/>
    <n v="1"/>
    <x v="0"/>
    <x v="0"/>
    <m/>
  </r>
  <r>
    <x v="1"/>
    <x v="3"/>
    <s v="EAPM-4355"/>
    <x v="94"/>
    <n v="28"/>
    <d v="2026-05-18T00:00:00"/>
    <d v="2026-05-29T00:00:00"/>
    <n v="1"/>
    <x v="0"/>
    <x v="1"/>
    <s v="move to 28"/>
  </r>
  <r>
    <x v="1"/>
    <x v="3"/>
    <s v="EAPM-3407"/>
    <x v="95"/>
    <n v="28"/>
    <d v="2026-05-18T00:00:00"/>
    <d v="2026-05-29T00:00:00"/>
    <n v="1"/>
    <x v="0"/>
    <x v="0"/>
    <m/>
  </r>
  <r>
    <x v="1"/>
    <x v="3"/>
    <s v="EAPM-3408"/>
    <x v="96"/>
    <n v="28"/>
    <d v="2026-05-18T00:00:00"/>
    <d v="2026-05-29T00:00:00"/>
    <n v="1"/>
    <x v="0"/>
    <x v="0"/>
    <m/>
  </r>
  <r>
    <x v="1"/>
    <x v="3"/>
    <s v="EAPM-3409"/>
    <x v="97"/>
    <n v="28"/>
    <d v="2026-05-18T00:00:00"/>
    <d v="2026-05-29T00:00:00"/>
    <n v="1"/>
    <x v="0"/>
    <x v="0"/>
    <m/>
  </r>
  <r>
    <x v="1"/>
    <x v="3"/>
    <s v="EAPM-3410"/>
    <x v="98"/>
    <n v="29"/>
    <d v="2026-06-01T00:00:00"/>
    <d v="2026-06-12T00:00:00"/>
    <n v="1"/>
    <x v="0"/>
    <x v="1"/>
    <s v="move to 29"/>
  </r>
  <r>
    <x v="1"/>
    <x v="3"/>
    <s v="EAPM-4730"/>
    <x v="99"/>
    <n v="28"/>
    <d v="2026-05-18T00:00:00"/>
    <d v="2026-05-29T00:00:00"/>
    <n v="1"/>
    <x v="1"/>
    <x v="2"/>
    <s v="add on"/>
  </r>
  <r>
    <x v="1"/>
    <x v="3"/>
    <s v="EAPM-4731"/>
    <x v="100"/>
    <n v="28"/>
    <d v="2026-05-18T00:00:00"/>
    <d v="2026-05-29T00:00:00"/>
    <n v="1"/>
    <x v="1"/>
    <x v="2"/>
    <s v="add on"/>
  </r>
  <r>
    <x v="1"/>
    <x v="3"/>
    <s v="EAPM-3752"/>
    <x v="101"/>
    <n v="28"/>
    <d v="2026-05-18T00:00:00"/>
    <d v="2026-05-29T00:00:00"/>
    <n v="1"/>
    <x v="0"/>
    <x v="0"/>
    <m/>
  </r>
  <r>
    <x v="1"/>
    <x v="3"/>
    <s v="EAPM-3898"/>
    <x v="102"/>
    <n v="28"/>
    <d v="2026-05-18T00:00:00"/>
    <d v="2026-05-29T00:00:00"/>
    <n v="1"/>
    <x v="0"/>
    <x v="0"/>
    <m/>
  </r>
  <r>
    <x v="1"/>
    <x v="3"/>
    <m/>
    <x v="103"/>
    <n v="28"/>
    <d v="2026-05-18T00:00:00"/>
    <d v="2026-05-29T00:00:00"/>
    <n v="1"/>
    <x v="0"/>
    <x v="3"/>
    <s v="remove"/>
  </r>
  <r>
    <x v="0"/>
    <x v="2"/>
    <s v="EAPM-347"/>
    <x v="104"/>
    <n v="29"/>
    <d v="2026-06-01T00:00:00"/>
    <d v="2026-06-12T00:00:00"/>
    <n v="1"/>
    <x v="0"/>
    <x v="0"/>
    <m/>
  </r>
  <r>
    <x v="1"/>
    <x v="3"/>
    <s v="EAPM-3411"/>
    <x v="105"/>
    <n v="29"/>
    <d v="2026-06-01T00:00:00"/>
    <d v="2026-06-12T00:00:00"/>
    <n v="1"/>
    <x v="0"/>
    <x v="1"/>
    <s v="move to 29"/>
  </r>
  <r>
    <x v="1"/>
    <x v="3"/>
    <s v="EAPM-3412"/>
    <x v="106"/>
    <n v="29"/>
    <d v="2026-06-01T00:00:00"/>
    <d v="2026-06-12T00:00:00"/>
    <n v="1"/>
    <x v="0"/>
    <x v="0"/>
    <m/>
  </r>
  <r>
    <x v="1"/>
    <x v="3"/>
    <s v="EAPM-3413"/>
    <x v="107"/>
    <n v="29"/>
    <d v="2026-06-01T00:00:00"/>
    <d v="2026-06-12T00:00:00"/>
    <n v="1"/>
    <x v="0"/>
    <x v="0"/>
    <m/>
  </r>
  <r>
    <x v="1"/>
    <x v="3"/>
    <s v="EAPM-4516"/>
    <x v="108"/>
    <n v="29"/>
    <d v="2026-06-01T00:00:00"/>
    <d v="2026-06-12T00:00:00"/>
    <n v="1"/>
    <x v="0"/>
    <x v="0"/>
    <m/>
  </r>
  <r>
    <x v="1"/>
    <x v="3"/>
    <s v="EAPM-3413"/>
    <x v="109"/>
    <n v="29"/>
    <d v="2026-06-01T00:00:00"/>
    <d v="2026-06-12T00:00:00"/>
    <n v="1"/>
    <x v="0"/>
    <x v="4"/>
    <s v="breakdown 5217, move to sprint 30"/>
  </r>
  <r>
    <x v="1"/>
    <x v="3"/>
    <s v="EAPM-4567"/>
    <x v="110"/>
    <n v="29"/>
    <d v="2026-06-01T00:00:00"/>
    <d v="2026-06-12T00:00:00"/>
    <n v="1"/>
    <x v="0"/>
    <x v="0"/>
    <m/>
  </r>
  <r>
    <x v="1"/>
    <x v="3"/>
    <s v="EAPM-3414"/>
    <x v="111"/>
    <n v="30"/>
    <d v="2026-06-15T00:00:00"/>
    <d v="2026-06-26T00:00:00"/>
    <n v="1"/>
    <x v="0"/>
    <x v="4"/>
    <s v="breakdown 5234"/>
  </r>
  <r>
    <x v="1"/>
    <x v="3"/>
    <s v="EAPM-3415"/>
    <x v="112"/>
    <n v="30"/>
    <d v="2026-06-15T00:00:00"/>
    <d v="2026-06-26T00:00:00"/>
    <n v="1"/>
    <x v="0"/>
    <x v="4"/>
    <s v="breakdown 5235"/>
  </r>
  <r>
    <x v="1"/>
    <x v="3"/>
    <s v="EAPM-4568"/>
    <x v="113"/>
    <n v="30"/>
    <d v="2026-06-15T00:00:00"/>
    <d v="2026-06-26T00:00:00"/>
    <n v="1"/>
    <x v="0"/>
    <x v="0"/>
    <m/>
  </r>
  <r>
    <x v="1"/>
    <x v="3"/>
    <s v="EAPM-4569"/>
    <x v="114"/>
    <n v="30"/>
    <d v="2026-06-15T00:00:00"/>
    <d v="2026-06-26T00:00:00"/>
    <n v="1"/>
    <x v="0"/>
    <x v="1"/>
    <s v="move to backlog"/>
  </r>
  <r>
    <x v="1"/>
    <x v="4"/>
    <s v="EAPM-5493"/>
    <x v="115"/>
    <n v="30"/>
    <d v="2026-06-15T00:00:00"/>
    <d v="2026-06-26T00:00:00"/>
    <n v="1"/>
    <x v="1"/>
    <x v="2"/>
    <s v="add on, no impact"/>
  </r>
  <r>
    <x v="1"/>
    <x v="4"/>
    <s v="EAPM-5158"/>
    <x v="116"/>
    <n v="30"/>
    <d v="2026-06-15T00:00:00"/>
    <d v="2026-06-26T00:00:00"/>
    <n v="1"/>
    <x v="1"/>
    <x v="2"/>
    <s v="add on, no impact"/>
  </r>
  <r>
    <x v="1"/>
    <x v="4"/>
    <s v="EAPM-5241"/>
    <x v="117"/>
    <n v="30"/>
    <d v="2026-06-15T00:00:00"/>
    <d v="2026-06-26T00:00:00"/>
    <n v="1"/>
    <x v="1"/>
    <x v="2"/>
    <s v="add on, no impact"/>
  </r>
  <r>
    <x v="1"/>
    <x v="4"/>
    <s v="EAPM-5397"/>
    <x v="118"/>
    <n v="30"/>
    <d v="2026-06-15T00:00:00"/>
    <d v="2026-06-26T00:00:00"/>
    <n v="1"/>
    <x v="1"/>
    <x v="2"/>
    <s v="add on, no impact"/>
  </r>
  <r>
    <x v="1"/>
    <x v="4"/>
    <s v="EAPM-5395"/>
    <x v="119"/>
    <n v="30"/>
    <d v="2026-06-15T00:00:00"/>
    <d v="2026-06-26T00:00:00"/>
    <n v="1"/>
    <x v="1"/>
    <x v="2"/>
    <s v="add on, no impact"/>
  </r>
  <r>
    <x v="1"/>
    <x v="4"/>
    <s v="EAPM-5434"/>
    <x v="120"/>
    <n v="30"/>
    <d v="2026-06-15T00:00:00"/>
    <d v="2026-06-26T00:00:00"/>
    <n v="1"/>
    <x v="1"/>
    <x v="2"/>
    <s v="add on, no impact"/>
  </r>
  <r>
    <x v="1"/>
    <x v="4"/>
    <s v="EAPM-5572"/>
    <x v="121"/>
    <n v="30"/>
    <d v="2026-06-15T00:00:00"/>
    <d v="2026-06-26T00:00:00"/>
    <n v="1"/>
    <x v="1"/>
    <x v="2"/>
    <s v="add on, no impact"/>
  </r>
  <r>
    <x v="1"/>
    <x v="3"/>
    <s v="EAPM-3406"/>
    <x v="122"/>
    <n v="31"/>
    <d v="2026-06-29T00:00:00"/>
    <d v="2026-07-10T00:00:00"/>
    <n v="1"/>
    <x v="0"/>
    <x v="1"/>
    <s v="move to sprint 30"/>
  </r>
  <r>
    <x v="1"/>
    <x v="5"/>
    <s v="EAPM-5023"/>
    <x v="123"/>
    <n v="31"/>
    <d v="2026-06-29T00:00:00"/>
    <d v="2026-07-10T00:00:00"/>
    <n v="1"/>
    <x v="0"/>
    <x v="1"/>
    <s v="move to sprint 32"/>
  </r>
  <r>
    <x v="1"/>
    <x v="5"/>
    <s v="EAPM-5237"/>
    <x v="124"/>
    <n v="31"/>
    <d v="2026-06-29T00:00:00"/>
    <d v="2026-07-10T00:00:00"/>
    <n v="1"/>
    <x v="0"/>
    <x v="1"/>
    <s v="move to sprint 32"/>
  </r>
  <r>
    <x v="1"/>
    <x v="3"/>
    <s v="EAPM-5812"/>
    <x v="125"/>
    <n v="31"/>
    <d v="2026-06-29T00:00:00"/>
    <d v="2026-07-10T00:00:00"/>
    <n v="1"/>
    <x v="1"/>
    <x v="2"/>
    <s v="add on"/>
  </r>
  <r>
    <x v="1"/>
    <x v="3"/>
    <s v="EAPM 5848"/>
    <x v="126"/>
    <n v="31"/>
    <d v="2026-06-29T00:00:00"/>
    <d v="2026-07-10T00:00:00"/>
    <n v="1"/>
    <x v="1"/>
    <x v="2"/>
    <s v="add on"/>
  </r>
  <r>
    <x v="1"/>
    <x v="5"/>
    <s v="EAPM 5024"/>
    <x v="127"/>
    <n v="32"/>
    <d v="2026-07-13T00:00:00"/>
    <d v="2026-07-24T00:00:00"/>
    <n v="1"/>
    <x v="0"/>
    <x v="0"/>
    <m/>
  </r>
  <r>
    <x v="1"/>
    <x v="5"/>
    <s v="EAPM 6178"/>
    <x v="128"/>
    <n v="32"/>
    <d v="2026-07-13T00:00:00"/>
    <d v="2026-07-24T00:00:00"/>
    <n v="1"/>
    <x v="0"/>
    <x v="0"/>
    <m/>
  </r>
  <r>
    <x v="1"/>
    <x v="5"/>
    <s v="EAPM 5847"/>
    <x v="129"/>
    <n v="32"/>
    <d v="2026-07-13T00:00:00"/>
    <d v="2026-07-24T00:00:00"/>
    <n v="1"/>
    <x v="0"/>
    <x v="0"/>
    <m/>
  </r>
  <r>
    <x v="1"/>
    <x v="5"/>
    <s v="EAPM 5027"/>
    <x v="130"/>
    <n v="32"/>
    <d v="2026-07-13T00:00:00"/>
    <d v="2026-07-24T00:00:00"/>
    <n v="1"/>
    <x v="1"/>
    <x v="5"/>
    <s v="move to sprint 33"/>
  </r>
  <r>
    <x v="1"/>
    <x v="6"/>
    <s v="EAPM 5028"/>
    <x v="131"/>
    <n v="32"/>
    <d v="2026-07-13T00:00:00"/>
    <d v="2026-07-24T00:00:00"/>
    <n v="1"/>
    <x v="1"/>
    <x v="1"/>
    <s v="move to sprint 33"/>
  </r>
  <r>
    <x v="1"/>
    <x v="5"/>
    <s v="EAPM-5022"/>
    <x v="132"/>
    <n v="32"/>
    <d v="2026-07-13T00:00:00"/>
    <d v="2026-07-24T00:00:00"/>
    <n v="1"/>
    <x v="1"/>
    <x v="4"/>
    <s v="breakdown to srpint 32"/>
  </r>
  <r>
    <x v="1"/>
    <x v="5"/>
    <s v="EAPM-5026"/>
    <x v="133"/>
    <n v="32"/>
    <d v="2026-07-13T00:00:00"/>
    <d v="2026-07-24T00:00:00"/>
    <n v="1"/>
    <x v="1"/>
    <x v="4"/>
    <s v="breakdown to srpint 32"/>
  </r>
  <r>
    <x v="1"/>
    <x v="5"/>
    <s v="EAPM-5059"/>
    <x v="134"/>
    <n v="32"/>
    <d v="2026-07-13T00:00:00"/>
    <d v="2026-07-24T00:00:00"/>
    <n v="1"/>
    <x v="1"/>
    <x v="4"/>
    <s v="breakdown to srpint 32"/>
  </r>
  <r>
    <x v="1"/>
    <x v="5"/>
    <s v="EAPM-5236"/>
    <x v="135"/>
    <n v="32"/>
    <d v="2026-07-13T00:00:00"/>
    <d v="2026-07-24T00:00:00"/>
    <n v="1"/>
    <x v="1"/>
    <x v="4"/>
    <s v="breakdown to srpint 32"/>
  </r>
  <r>
    <x v="1"/>
    <x v="5"/>
    <s v="EAPM-6028"/>
    <x v="136"/>
    <n v="32"/>
    <d v="2026-07-13T00:00:00"/>
    <d v="2026-07-24T00:00:00"/>
    <n v="1"/>
    <x v="1"/>
    <x v="4"/>
    <s v="breakdown to srpint 32"/>
  </r>
  <r>
    <x v="1"/>
    <x v="5"/>
    <s v="EAPM-6231"/>
    <x v="137"/>
    <n v="32"/>
    <d v="2026-07-13T00:00:00"/>
    <d v="2026-07-24T00:00:00"/>
    <n v="1"/>
    <x v="1"/>
    <x v="4"/>
    <s v="breakdown to srpint 32"/>
  </r>
  <r>
    <x v="1"/>
    <x v="5"/>
    <s v="EAPM-6367"/>
    <x v="138"/>
    <n v="32"/>
    <d v="2026-07-13T00:00:00"/>
    <d v="2026-07-24T00:00:00"/>
    <n v="1"/>
    <x v="1"/>
    <x v="4"/>
    <s v="breakdown to srpint 32"/>
  </r>
  <r>
    <x v="1"/>
    <x v="5"/>
    <s v="EAPM-6368"/>
    <x v="139"/>
    <n v="32"/>
    <d v="2026-07-13T00:00:00"/>
    <d v="2026-07-24T00:00:00"/>
    <n v="1"/>
    <x v="1"/>
    <x v="4"/>
    <s v="breakdown to srpint 32"/>
  </r>
  <r>
    <x v="1"/>
    <x v="5"/>
    <s v="EAPM-6369"/>
    <x v="140"/>
    <n v="32"/>
    <d v="2026-07-13T00:00:00"/>
    <d v="2026-07-24T00:00:00"/>
    <n v="1"/>
    <x v="1"/>
    <x v="4"/>
    <s v="breakdown to srpint 32"/>
  </r>
  <r>
    <x v="1"/>
    <x v="5"/>
    <s v="EAPM-6370"/>
    <x v="141"/>
    <n v="32"/>
    <d v="2026-07-13T00:00:00"/>
    <d v="2026-07-24T00:00:00"/>
    <n v="1"/>
    <x v="1"/>
    <x v="4"/>
    <s v="breakdown to srpint 32"/>
  </r>
  <r>
    <x v="1"/>
    <x v="6"/>
    <s v="EAPM 5029"/>
    <x v="142"/>
    <n v="33"/>
    <d v="2026-07-27T00:00:00"/>
    <d v="2026-08-07T00:00:00"/>
    <n v="0"/>
    <x v="0"/>
    <x v="0"/>
    <m/>
  </r>
  <r>
    <x v="1"/>
    <x v="7"/>
    <s v="EAPM-3417"/>
    <x v="143"/>
    <n v="33"/>
    <d v="2026-07-27T00:00:00"/>
    <d v="2026-08-07T00:00:00"/>
    <n v="0"/>
    <x v="0"/>
    <x v="0"/>
    <m/>
  </r>
  <r>
    <x v="1"/>
    <x v="7"/>
    <m/>
    <x v="144"/>
    <n v="33"/>
    <d v="2026-07-27T00:00:00"/>
    <d v="2026-08-07T00:00:00"/>
    <n v="0"/>
    <x v="0"/>
    <x v="0"/>
    <m/>
  </r>
  <r>
    <x v="1"/>
    <x v="7"/>
    <m/>
    <x v="145"/>
    <n v="34"/>
    <d v="2026-08-10T00:00:00"/>
    <d v="2026-08-21T00:00:00"/>
    <n v="0"/>
    <x v="0"/>
    <x v="0"/>
    <m/>
  </r>
  <r>
    <x v="1"/>
    <x v="7"/>
    <m/>
    <x v="146"/>
    <n v="34"/>
    <d v="2026-08-10T00:00:00"/>
    <d v="2026-08-21T00:00:00"/>
    <n v="0"/>
    <x v="0"/>
    <x v="0"/>
    <m/>
  </r>
  <r>
    <x v="1"/>
    <x v="8"/>
    <m/>
    <x v="147"/>
    <n v="34"/>
    <d v="2026-08-10T00:00:00"/>
    <d v="2026-08-21T00:00:00"/>
    <n v="0"/>
    <x v="0"/>
    <x v="1"/>
    <s v="move to sprint 31, breakerdown 5038, 5058"/>
  </r>
  <r>
    <x v="1"/>
    <x v="8"/>
    <m/>
    <x v="148"/>
    <n v="35"/>
    <d v="2026-08-24T00:00:00"/>
    <d v="2026-09-04T00:00:00"/>
    <n v="0"/>
    <x v="0"/>
    <x v="1"/>
    <s v="move to sprint 31, breakerdown 5056, 5057, 5036, 5037"/>
  </r>
  <r>
    <x v="1"/>
    <x v="8"/>
    <m/>
    <x v="149"/>
    <n v="35"/>
    <d v="2026-08-24T00:00:00"/>
    <d v="2026-09-04T00:00:00"/>
    <n v="0"/>
    <x v="0"/>
    <x v="1"/>
    <s v="move to sprint 31, breakdown 5034, 5035, 5020"/>
  </r>
  <r>
    <x v="1"/>
    <x v="9"/>
    <m/>
    <x v="150"/>
    <n v="35"/>
    <d v="2026-08-24T00:00:00"/>
    <d v="2026-09-04T00:00:00"/>
    <n v="0"/>
    <x v="0"/>
    <x v="0"/>
    <m/>
  </r>
  <r>
    <x v="1"/>
    <x v="9"/>
    <m/>
    <x v="151"/>
    <n v="35"/>
    <d v="2026-08-24T00:00:00"/>
    <d v="2026-09-04T00:00:00"/>
    <n v="0"/>
    <x v="0"/>
    <x v="0"/>
    <m/>
  </r>
  <r>
    <x v="2"/>
    <x v="10"/>
    <m/>
    <x v="152"/>
    <n v="36"/>
    <d v="2026-09-07T00:00:00"/>
    <d v="2026-09-18T00:00:00"/>
    <n v="0"/>
    <x v="0"/>
    <x v="0"/>
    <m/>
  </r>
  <r>
    <x v="2"/>
    <x v="10"/>
    <m/>
    <x v="153"/>
    <n v="37"/>
    <d v="2026-09-21T00:00:00"/>
    <d v="2026-10-02T00:00:00"/>
    <n v="0"/>
    <x v="0"/>
    <x v="0"/>
    <m/>
  </r>
  <r>
    <x v="2"/>
    <x v="11"/>
    <m/>
    <x v="154"/>
    <n v="38"/>
    <d v="2026-10-05T00:00:00"/>
    <d v="2026-10-16T00:00:00"/>
    <n v="0"/>
    <x v="0"/>
    <x v="0"/>
    <m/>
  </r>
  <r>
    <x v="2"/>
    <x v="11"/>
    <m/>
    <x v="155"/>
    <n v="39"/>
    <d v="2026-10-19T00:00:00"/>
    <d v="2026-10-30T00:00:00"/>
    <n v="0"/>
    <x v="0"/>
    <x v="0"/>
    <m/>
  </r>
  <r>
    <x v="2"/>
    <x v="11"/>
    <m/>
    <x v="156"/>
    <n v="40"/>
    <d v="2026-11-02T00:00:00"/>
    <d v="2026-11-13T00:00:00"/>
    <n v="0"/>
    <x v="0"/>
    <x v="0"/>
    <m/>
  </r>
  <r>
    <x v="2"/>
    <x v="11"/>
    <m/>
    <x v="157"/>
    <n v="41"/>
    <d v="2026-11-16T00:00:00"/>
    <d v="2026-11-27T00:00:00"/>
    <n v="0"/>
    <x v="0"/>
    <x v="0"/>
    <m/>
  </r>
  <r>
    <x v="3"/>
    <x v="12"/>
    <m/>
    <x v="158"/>
    <n v="42"/>
    <d v="2026-11-30T00:00:00"/>
    <d v="2026-12-11T00:00:00"/>
    <n v="0"/>
    <x v="0"/>
    <x v="0"/>
    <m/>
  </r>
  <r>
    <x v="3"/>
    <x v="13"/>
    <m/>
    <x v="159"/>
    <n v="43"/>
    <d v="2026-12-14T00:00:00"/>
    <d v="2026-12-25T00:00:00"/>
    <n v="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1000000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M2:R43" firstHeaderRow="1" firstDataRow="1" firstDataCol="5"/>
  <pivotFields count="8">
    <pivotField axis="axisRow" compact="0" showAll="0">
      <items count="6">
        <item x="0"/>
        <item x="1"/>
        <item x="4"/>
        <item x="3"/>
        <item x="2"/>
        <item t="default"/>
      </items>
    </pivotField>
    <pivotField axis="axisRow" compact="0" outline="0" subtotalTop="0" showAll="0" defaultSubtotal="0">
      <items count="17">
        <item x="2"/>
        <item x="5"/>
        <item x="3"/>
        <item x="1"/>
        <item x="9"/>
        <item x="7"/>
        <item x="6"/>
        <item x="0"/>
        <item x="8"/>
        <item x="12"/>
        <item m="1" x="16"/>
        <item x="13"/>
        <item m="1" x="14"/>
        <item m="1" x="15"/>
        <item x="10"/>
        <item x="11"/>
        <item x="4"/>
      </items>
    </pivotField>
    <pivotField compact="0" outline="0" showAll="0"/>
    <pivotField dataField="1" compact="0" outline="0" showAll="0"/>
    <pivotField axis="axisRow" compact="0" outline="0" showAll="0" sortType="ascending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compact="0" numFmtId="15" outline="0" showAll="0" sortType="ascending" defaultSubtotal="0">
      <items count="26">
        <item x="0"/>
        <item x="1"/>
        <item x="2"/>
        <item x="3"/>
        <item x="4"/>
        <item sd="0"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compact="0" numFmtId="15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4"/>
        <item x="25"/>
        <item x="20"/>
        <item x="21"/>
        <item x="22"/>
        <item x="23"/>
      </items>
    </pivotField>
    <pivotField compact="0" numFmtId="1" outline="0" showAll="0"/>
  </pivotFields>
  <rowFields count="5">
    <field x="0"/>
    <field x="4"/>
    <field x="5"/>
    <field x="6"/>
    <field x="1"/>
  </rowFields>
  <rowItems count="41">
    <i>
      <x/>
    </i>
    <i r="1">
      <x/>
      <x/>
      <x/>
      <x v="7"/>
    </i>
    <i r="1">
      <x v="1"/>
      <x v="1"/>
      <x v="1"/>
      <x v="7"/>
    </i>
    <i r="1">
      <x v="2"/>
      <x v="2"/>
      <x v="2"/>
      <x v="3"/>
    </i>
    <i r="1">
      <x v="3"/>
      <x v="3"/>
      <x v="3"/>
      <x v="3"/>
    </i>
    <i r="1">
      <x v="4"/>
      <x v="4"/>
      <x v="4"/>
      <x/>
    </i>
    <i r="4">
      <x v="3"/>
    </i>
    <i r="1">
      <x v="5"/>
      <x v="5"/>
    </i>
    <i r="1">
      <x v="6"/>
      <x v="6"/>
      <x v="6"/>
      <x v="3"/>
    </i>
    <i r="1">
      <x v="7"/>
      <x v="7"/>
      <x v="7"/>
      <x v="3"/>
    </i>
    <i r="1">
      <x v="8"/>
      <x v="8"/>
      <x v="8"/>
      <x v="3"/>
    </i>
    <i r="1">
      <x v="9"/>
      <x v="9"/>
      <x v="9"/>
      <x v="3"/>
    </i>
    <i r="1">
      <x v="11"/>
      <x v="11"/>
      <x v="11"/>
      <x/>
    </i>
    <i>
      <x v="1"/>
    </i>
    <i r="1">
      <x v="9"/>
      <x v="9"/>
      <x v="9"/>
      <x v="2"/>
    </i>
    <i r="1">
      <x v="10"/>
      <x v="10"/>
      <x v="10"/>
      <x v="2"/>
    </i>
    <i r="1">
      <x v="11"/>
      <x v="11"/>
      <x v="11"/>
      <x v="2"/>
    </i>
    <i r="1">
      <x v="12"/>
      <x v="12"/>
      <x v="12"/>
      <x v="2"/>
    </i>
    <i r="1">
      <x v="13"/>
      <x v="13"/>
      <x v="13"/>
      <x v="1"/>
    </i>
    <i r="4">
      <x v="2"/>
    </i>
    <i r="1">
      <x v="14"/>
      <x v="14"/>
      <x v="14"/>
      <x v="1"/>
    </i>
    <i r="4">
      <x v="6"/>
    </i>
    <i r="1">
      <x v="15"/>
      <x v="15"/>
      <x v="15"/>
      <x v="5"/>
    </i>
    <i r="4">
      <x v="6"/>
    </i>
    <i r="1">
      <x v="16"/>
      <x v="16"/>
      <x v="16"/>
      <x v="5"/>
    </i>
    <i r="4">
      <x v="8"/>
    </i>
    <i r="1">
      <x v="17"/>
      <x v="17"/>
      <x v="17"/>
      <x v="4"/>
    </i>
    <i r="4">
      <x v="8"/>
    </i>
    <i>
      <x v="2"/>
    </i>
    <i r="1">
      <x v="24"/>
      <x v="24"/>
      <x v="20"/>
      <x v="9"/>
    </i>
    <i r="1">
      <x v="25"/>
      <x v="25"/>
      <x v="21"/>
      <x v="11"/>
    </i>
    <i>
      <x v="3"/>
    </i>
    <i r="1">
      <x v="18"/>
      <x v="18"/>
      <x v="18"/>
      <x v="14"/>
    </i>
    <i r="1">
      <x v="19"/>
      <x v="19"/>
      <x v="19"/>
      <x v="14"/>
    </i>
    <i r="1">
      <x v="20"/>
      <x v="20"/>
      <x v="22"/>
      <x v="15"/>
    </i>
    <i r="1">
      <x v="21"/>
      <x v="21"/>
      <x v="23"/>
      <x v="15"/>
    </i>
    <i r="1">
      <x v="22"/>
      <x v="22"/>
      <x v="24"/>
      <x v="15"/>
    </i>
    <i r="1">
      <x v="23"/>
      <x v="23"/>
      <x v="25"/>
      <x v="15"/>
    </i>
    <i>
      <x v="4"/>
    </i>
    <i r="1">
      <x v="12"/>
      <x v="12"/>
      <x v="12"/>
      <x v="16"/>
    </i>
    <i t="grand">
      <x/>
    </i>
  </rowItems>
  <colItems count="1">
    <i/>
  </colItems>
  <dataFields count="1">
    <dataField name="Count of User Story Description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T2:U7" firstHeaderRow="1" firstDataRow="1" firstDataCol="1"/>
  <pivotFields count="11">
    <pivotField axis="axisRow" compact="0" outline="0" showAll="0" defaultSubtotal="0">
      <items count="6">
        <item sd="0" x="0"/>
        <item sd="0" x="3"/>
        <item sd="0" x="1"/>
        <item sd="0" x="2"/>
        <item sd="0" m="1" x="5"/>
        <item sd="0" m="1" x="4"/>
      </items>
    </pivotField>
    <pivotField compact="0" outline="0" showAll="0">
      <items count="15">
        <item x="2"/>
        <item x="5"/>
        <item x="3"/>
        <item x="1"/>
        <item x="12"/>
        <item x="11"/>
        <item x="13"/>
        <item x="9"/>
        <item x="7"/>
        <item x="6"/>
        <item x="10"/>
        <item x="0"/>
        <item x="8"/>
        <item x="4"/>
        <item t="default"/>
      </items>
    </pivotField>
    <pivotField compact="0" outline="0" showAll="0"/>
    <pivotField compact="0" outline="0" showAll="0" defaultSubtotal="0">
      <items count="160">
        <item x="6"/>
        <item x="92"/>
        <item x="73"/>
        <item x="71"/>
        <item x="1"/>
        <item x="4"/>
        <item x="15"/>
        <item x="84"/>
        <item x="85"/>
        <item x="86"/>
        <item x="83"/>
        <item x="69"/>
        <item x="67"/>
        <item x="62"/>
        <item x="64"/>
        <item x="63"/>
        <item x="65"/>
        <item x="66"/>
        <item x="68"/>
        <item x="74"/>
        <item x="32"/>
        <item x="36"/>
        <item x="51"/>
        <item x="34"/>
        <item x="35"/>
        <item x="55"/>
        <item x="42"/>
        <item x="39"/>
        <item x="40"/>
        <item x="41"/>
        <item x="44"/>
        <item x="38"/>
        <item x="52"/>
        <item x="47"/>
        <item x="45"/>
        <item x="46"/>
        <item x="53"/>
        <item x="50"/>
        <item x="48"/>
        <item x="49"/>
        <item x="82"/>
        <item x="57"/>
        <item x="59"/>
        <item x="56"/>
        <item x="58"/>
        <item x="54"/>
        <item x="81"/>
        <item x="33"/>
        <item x="14"/>
        <item x="13"/>
        <item x="10"/>
        <item x="11"/>
        <item x="9"/>
        <item x="8"/>
        <item x="12"/>
        <item x="104"/>
        <item x="91"/>
        <item x="79"/>
        <item x="70"/>
        <item x="158"/>
        <item x="61"/>
        <item x="60"/>
        <item x="72"/>
        <item x="17"/>
        <item x="7"/>
        <item x="23"/>
        <item x="24"/>
        <item x="3"/>
        <item x="19"/>
        <item x="22"/>
        <item x="37"/>
        <item x="18"/>
        <item x="25"/>
        <item x="75"/>
        <item x="21"/>
        <item x="101"/>
        <item x="20"/>
        <item x="2"/>
        <item x="29"/>
        <item x="5"/>
        <item x="43"/>
        <item x="30"/>
        <item x="26"/>
        <item x="31"/>
        <item x="78"/>
        <item x="102"/>
        <item x="99"/>
        <item x="100"/>
        <item x="77"/>
        <item x="28"/>
        <item x="80"/>
        <item x="27"/>
        <item x="16"/>
        <item x="0"/>
        <item x="115"/>
        <item x="119"/>
        <item x="126"/>
        <item x="116"/>
        <item x="125"/>
        <item x="117"/>
        <item x="120"/>
        <item x="93"/>
        <item x="94"/>
        <item x="159"/>
        <item x="76"/>
        <item x="137"/>
        <item x="131"/>
        <item x="142"/>
        <item x="87"/>
        <item x="150"/>
        <item x="151"/>
        <item x="118"/>
        <item x="124"/>
        <item x="123"/>
        <item x="127"/>
        <item x="129"/>
        <item x="128"/>
        <item x="130"/>
        <item x="133"/>
        <item x="132"/>
        <item x="135"/>
        <item x="140"/>
        <item x="138"/>
        <item x="141"/>
        <item x="139"/>
        <item x="96"/>
        <item x="90"/>
        <item x="143"/>
        <item x="144"/>
        <item x="146"/>
        <item x="145"/>
        <item x="122"/>
        <item x="136"/>
        <item x="105"/>
        <item x="98"/>
        <item x="103"/>
        <item x="106"/>
        <item x="107"/>
        <item x="108"/>
        <item x="88"/>
        <item x="112"/>
        <item x="97"/>
        <item x="111"/>
        <item x="113"/>
        <item x="114"/>
        <item x="95"/>
        <item x="109"/>
        <item x="110"/>
        <item x="89"/>
        <item x="148"/>
        <item x="149"/>
        <item x="147"/>
        <item x="134"/>
        <item x="121"/>
        <item x="152"/>
        <item x="153"/>
        <item x="154"/>
        <item x="155"/>
        <item x="156"/>
        <item x="157"/>
      </items>
    </pivotField>
    <pivotField compact="0" outline="0" showAll="0"/>
    <pivotField compact="0" numFmtId="15" outline="0" showAll="0"/>
    <pivotField compact="0" numFmtId="15" outline="0" showAll="0"/>
    <pivotField compact="0" numFmtId="1" outline="0" showAll="0"/>
    <pivotField dataField="1" compact="0" outline="0" showAll="0">
      <items count="5">
        <item m="1" x="2"/>
        <item sd="0" x="0"/>
        <item m="1" x="3"/>
        <item n="Change Record" x="1"/>
        <item t="default"/>
      </items>
    </pivotField>
    <pivotField compact="0" outline="0" showAll="0">
      <items count="7">
        <item x="2"/>
        <item x="1"/>
        <item x="5"/>
        <item x="3"/>
        <item x="4"/>
        <item x="0"/>
        <item t="default"/>
      </items>
    </pivotField>
    <pivotField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s Baseline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3000000}" name="PivotTable1" cacheId="2" applyNumberFormats="0" applyBorderFormats="0" applyFontFormats="0" applyPatternFormats="0" applyAlignmentFormats="0" applyWidthHeightFormats="0" dataCaption="Values" showDrill="0" itemPrintTitles="1" indent="0" compact="0" compactData="0" multipleFieldFilters="0">
  <location ref="M2:R42" firstHeaderRow="1" firstDataRow="1" firstDataCol="5"/>
  <pivotFields count="8">
    <pivotField axis="axisRow" compact="0" showAll="0">
      <items count="5">
        <item x="0"/>
        <item x="2"/>
        <item x="1"/>
        <item x="3"/>
        <item t="default"/>
      </items>
    </pivotField>
    <pivotField axis="axisRow" compact="0" outline="0" showAll="0" defaultSubtotal="0">
      <items count="14">
        <item x="0"/>
        <item x="1"/>
        <item x="2"/>
        <item x="3"/>
        <item x="7"/>
        <item x="8"/>
        <item x="9"/>
        <item x="11"/>
        <item x="12"/>
        <item x="4"/>
        <item x="6"/>
        <item x="10"/>
        <item x="5"/>
        <item x="13"/>
      </items>
    </pivotField>
    <pivotField compact="0" outline="0" showAll="0"/>
    <pivotField dataField="1" compact="0" outline="0" showAll="0"/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compact="0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4"/>
        <item x="25"/>
        <item x="20"/>
        <item x="21"/>
        <item x="22"/>
        <item x="23"/>
      </items>
    </pivotField>
    <pivotField compact="0" outline="0" showAll="0"/>
  </pivotFields>
  <rowFields count="5">
    <field x="0"/>
    <field x="4"/>
    <field x="5"/>
    <field x="6"/>
    <field x="1"/>
  </rowFields>
  <dataFields count="1">
    <dataField name="Count of User Story Description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2000000}" name="PivotTable4" cacheId="3" applyNumberFormats="0" applyBorderFormats="0" applyFontFormats="0" applyPatternFormats="0" applyAlignmentFormats="0" applyWidthHeightFormats="0" dataCaption="Values" itemPrintTitles="1" indent="0" compact="0" compactData="0" multipleFieldFilters="0">
  <location ref="T2:U7" firstHeaderRow="1" firstDataRow="1" firstDataCol="1"/>
  <pivotFields count="11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dataFields count="1">
    <dataField name="Count of Is Baseline" fld="8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4000000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5:K33" firstHeaderRow="1" firstDataRow="1" firstDataCol="1"/>
  <pivotFields count="7">
    <pivotField axis="axisRow" compact="0" outline="0" showAll="0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compact="0" numFmtId="15" outline="0" showAll="0"/>
    <pivotField compact="0" numFmtId="15" outline="0" showAll="0"/>
    <pivotField compact="0" outline="0" showAll="0"/>
    <pivotField compact="0" outline="0" showAll="0"/>
    <pivotField dataField="1" compact="0" numFmtId="9" outline="0" showAll="0"/>
    <pivotField compact="0" outline="0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% Weight Resoure Sprint Utilize" fld="5" subtotal="average" baseField="0" baseItem="0" numFmtId="9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6000000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M2:R43" firstHeaderRow="1" firstDataRow="1" firstDataCol="5"/>
  <pivotFields count="8">
    <pivotField axis="axisRow" compact="0" showAll="0">
      <items count="6">
        <item x="0"/>
        <item x="1"/>
        <item x="4"/>
        <item x="3"/>
        <item x="2"/>
        <item t="default"/>
      </items>
    </pivotField>
    <pivotField axis="axisRow" compact="0" outline="0" subtotalTop="0" showAll="0" defaultSubtotal="0">
      <items count="17">
        <item x="2"/>
        <item x="5"/>
        <item x="3"/>
        <item x="1"/>
        <item x="9"/>
        <item x="7"/>
        <item x="6"/>
        <item x="0"/>
        <item x="8"/>
        <item x="12"/>
        <item m="1" x="16"/>
        <item x="13"/>
        <item m="1" x="14"/>
        <item m="1" x="15"/>
        <item x="10"/>
        <item x="11"/>
        <item x="4"/>
      </items>
    </pivotField>
    <pivotField compact="0" outline="0" showAll="0"/>
    <pivotField dataField="1" compact="0" outline="0" showAll="0"/>
    <pivotField axis="axisRow" compact="0" outline="0" showAll="0" sortType="ascending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compact="0" numFmtId="15" outline="0" showAll="0" sortType="ascending" defaultSubtotal="0">
      <items count="26">
        <item x="0"/>
        <item x="1"/>
        <item x="2"/>
        <item x="3"/>
        <item x="4"/>
        <item sd="0"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Row" compact="0" numFmtId="15" outline="0"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4"/>
        <item x="25"/>
        <item x="20"/>
        <item x="21"/>
        <item x="22"/>
        <item x="23"/>
      </items>
    </pivotField>
    <pivotField compact="0" numFmtId="1" outline="0" showAll="0"/>
  </pivotFields>
  <rowFields count="5">
    <field x="0"/>
    <field x="4"/>
    <field x="5"/>
    <field x="6"/>
    <field x="1"/>
  </rowFields>
  <rowItems count="41">
    <i>
      <x/>
    </i>
    <i r="1">
      <x/>
      <x/>
      <x/>
      <x v="7"/>
    </i>
    <i r="1">
      <x v="1"/>
      <x v="1"/>
      <x v="1"/>
      <x v="7"/>
    </i>
    <i r="1">
      <x v="2"/>
      <x v="2"/>
      <x v="2"/>
      <x v="3"/>
    </i>
    <i r="1">
      <x v="3"/>
      <x v="3"/>
      <x v="3"/>
      <x v="3"/>
    </i>
    <i r="1">
      <x v="4"/>
      <x v="4"/>
      <x v="4"/>
      <x/>
    </i>
    <i r="4">
      <x v="3"/>
    </i>
    <i r="1">
      <x v="5"/>
      <x v="5"/>
    </i>
    <i r="1">
      <x v="6"/>
      <x v="6"/>
      <x v="6"/>
      <x v="3"/>
    </i>
    <i r="1">
      <x v="7"/>
      <x v="7"/>
      <x v="7"/>
      <x v="3"/>
    </i>
    <i r="1">
      <x v="8"/>
      <x v="8"/>
      <x v="8"/>
      <x v="3"/>
    </i>
    <i r="1">
      <x v="9"/>
      <x v="9"/>
      <x v="9"/>
      <x v="3"/>
    </i>
    <i r="1">
      <x v="11"/>
      <x v="11"/>
      <x v="11"/>
      <x/>
    </i>
    <i>
      <x v="1"/>
    </i>
    <i r="1">
      <x v="9"/>
      <x v="9"/>
      <x v="9"/>
      <x v="2"/>
    </i>
    <i r="1">
      <x v="10"/>
      <x v="10"/>
      <x v="10"/>
      <x v="2"/>
    </i>
    <i r="1">
      <x v="11"/>
      <x v="11"/>
      <x v="11"/>
      <x v="2"/>
    </i>
    <i r="1">
      <x v="12"/>
      <x v="12"/>
      <x v="12"/>
      <x v="2"/>
    </i>
    <i r="1">
      <x v="13"/>
      <x v="13"/>
      <x v="13"/>
      <x v="1"/>
    </i>
    <i r="4">
      <x v="2"/>
    </i>
    <i r="1">
      <x v="14"/>
      <x v="14"/>
      <x v="14"/>
      <x v="1"/>
    </i>
    <i r="4">
      <x v="6"/>
    </i>
    <i r="1">
      <x v="15"/>
      <x v="15"/>
      <x v="15"/>
      <x v="5"/>
    </i>
    <i r="4">
      <x v="6"/>
    </i>
    <i r="1">
      <x v="16"/>
      <x v="16"/>
      <x v="16"/>
      <x v="5"/>
    </i>
    <i r="4">
      <x v="8"/>
    </i>
    <i r="1">
      <x v="17"/>
      <x v="17"/>
      <x v="17"/>
      <x v="4"/>
    </i>
    <i r="4">
      <x v="8"/>
    </i>
    <i>
      <x v="2"/>
    </i>
    <i r="1">
      <x v="24"/>
      <x v="24"/>
      <x v="20"/>
      <x v="9"/>
    </i>
    <i r="1">
      <x v="25"/>
      <x v="25"/>
      <x v="21"/>
      <x v="11"/>
    </i>
    <i>
      <x v="3"/>
    </i>
    <i r="1">
      <x v="18"/>
      <x v="18"/>
      <x v="18"/>
      <x v="14"/>
    </i>
    <i r="1">
      <x v="19"/>
      <x v="19"/>
      <x v="19"/>
      <x v="14"/>
    </i>
    <i r="1">
      <x v="20"/>
      <x v="20"/>
      <x v="22"/>
      <x v="15"/>
    </i>
    <i r="1">
      <x v="21"/>
      <x v="21"/>
      <x v="23"/>
      <x v="15"/>
    </i>
    <i r="1">
      <x v="22"/>
      <x v="22"/>
      <x v="24"/>
      <x v="15"/>
    </i>
    <i r="1">
      <x v="23"/>
      <x v="23"/>
      <x v="25"/>
      <x v="15"/>
    </i>
    <i>
      <x v="4"/>
    </i>
    <i r="1">
      <x v="12"/>
      <x v="12"/>
      <x v="12"/>
      <x v="16"/>
    </i>
    <i t="grand">
      <x/>
    </i>
  </rowItems>
  <colItems count="1">
    <i/>
  </colItems>
  <dataFields count="1">
    <dataField name="Count of User Story Description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500000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46:N52" firstHeaderRow="1" firstDataRow="1" firstDataCol="1"/>
  <pivotFields count="8">
    <pivotField axis="axisRow" compact="0" outline="0" showAll="0">
      <items count="6">
        <item x="0"/>
        <item x="4"/>
        <item x="1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15" outline="0" showAll="0"/>
    <pivotField compact="0" numFmtId="15" outline="0" showAll="0"/>
    <pivotField compact="0" numFmtId="1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 Story Description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pttep.atlassian.net/browse/EAPM-3413" TargetMode="Externa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pttep.atlassian.net/browse/EAPM-3413" TargetMode="Externa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https://pttep-my.sharepoint.com/:x:/r/personal/zparinyaka_pttep_com/Documents/Projects/_Document%20analysis/_completed/EP%20APM/Revise%20Project%20Plan/Master_Project_Plan_Combined_2026%20(2).xlsx?d=waa67185a39d442e991ec8862143ab129&amp;csf=1&amp;web=1&amp;e=03GpZb&amp;nav=MTVfe0MxMzc3NDM4LUU3NUUtNEZCQS04RTAxLTY0NEQ1Q0Q2RUY4Rn0" TargetMode="External"/><Relationship Id="rId1" Type="http://schemas.openxmlformats.org/officeDocument/2006/relationships/pivotTable" Target="../pivotTables/pivotTable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pttep.atlassian.net/browse/EAPM-3413" TargetMode="Externa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opLeftCell="A49" workbookViewId="0">
      <selection activeCell="B10" sqref="B10"/>
    </sheetView>
  </sheetViews>
  <sheetFormatPr defaultRowHeight="14.5"/>
  <cols>
    <col min="1" max="1" width="22.26953125" customWidth="1"/>
    <col min="2" max="2" width="59.26953125" customWidth="1"/>
    <col min="3" max="3" width="12" customWidth="1"/>
    <col min="4" max="4" width="11.453125" customWidth="1"/>
    <col min="5" max="5" width="11.7265625" bestFit="1" customWidth="1"/>
    <col min="6" max="6" width="11.7265625" customWidth="1"/>
    <col min="9" max="9" width="29.81640625" bestFit="1" customWidth="1"/>
  </cols>
  <sheetData>
    <row r="1" spans="1:1">
      <c r="A1" t="s">
        <v>74</v>
      </c>
    </row>
    <row r="2" spans="1:1">
      <c r="A2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8"/>
  <sheetViews>
    <sheetView showGridLines="0" zoomScale="80" zoomScaleNormal="80" workbookViewId="0">
      <selection activeCell="E17" sqref="E17"/>
    </sheetView>
  </sheetViews>
  <sheetFormatPr defaultRowHeight="14.5"/>
  <cols>
    <col min="1" max="1" width="14.1796875" customWidth="1"/>
    <col min="2" max="2" width="19.54296875" customWidth="1"/>
    <col min="3" max="3" width="29.1796875" customWidth="1"/>
    <col min="4" max="4" width="12.7265625" customWidth="1"/>
    <col min="5" max="5" width="12.54296875" customWidth="1"/>
    <col min="6" max="7" width="12.26953125" customWidth="1"/>
    <col min="8" max="8" width="16.26953125" customWidth="1"/>
    <col min="9" max="60" width="4.54296875" customWidth="1"/>
  </cols>
  <sheetData>
    <row r="1" spans="1:60">
      <c r="A1" s="12" t="s">
        <v>76</v>
      </c>
      <c r="B1" s="14">
        <f>AVERAGE(H7:H28)</f>
        <v>0.42727272727272719</v>
      </c>
      <c r="I1" s="369" t="s">
        <v>77</v>
      </c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7"/>
      <c r="BC1" s="367"/>
      <c r="BD1" s="367"/>
      <c r="BE1" s="367"/>
      <c r="BF1" s="367"/>
      <c r="BG1" s="367"/>
      <c r="BH1" s="368"/>
    </row>
    <row r="2" spans="1:60">
      <c r="A2" s="12" t="s">
        <v>78</v>
      </c>
      <c r="B2" s="14">
        <f t="array" aca="1" ref="B2" ca="1">AVERAGE(_xlfn.MAP(D7:D28, E7:E28, _xlfn.LAMBDA(_xlpm.s,_xlpm.e,
  IF(TODAY() &gt; _xlpm.e, 1,
  IF(TODAY() &lt; _xlpm.s, 0,
  (TODAY() - _xlpm.s) / (_xlpm.e - _xlpm.s))))))</f>
        <v>0.75619834710743805</v>
      </c>
      <c r="I2" s="370" t="s">
        <v>79</v>
      </c>
      <c r="J2" s="367"/>
      <c r="K2" s="367"/>
      <c r="L2" s="368"/>
      <c r="M2" s="370" t="s">
        <v>80</v>
      </c>
      <c r="N2" s="367"/>
      <c r="O2" s="367"/>
      <c r="P2" s="368"/>
      <c r="Q2" s="370" t="s">
        <v>81</v>
      </c>
      <c r="R2" s="367"/>
      <c r="S2" s="367"/>
      <c r="T2" s="367"/>
      <c r="U2" s="368"/>
      <c r="V2" s="370" t="s">
        <v>82</v>
      </c>
      <c r="W2" s="367"/>
      <c r="X2" s="367"/>
      <c r="Y2" s="368"/>
      <c r="Z2" s="370" t="s">
        <v>83</v>
      </c>
      <c r="AA2" s="367"/>
      <c r="AB2" s="367"/>
      <c r="AC2" s="368"/>
      <c r="AD2" s="370" t="s">
        <v>84</v>
      </c>
      <c r="AE2" s="367"/>
      <c r="AF2" s="367"/>
      <c r="AG2" s="367"/>
      <c r="AH2" s="368"/>
      <c r="AI2" s="370" t="s">
        <v>85</v>
      </c>
      <c r="AJ2" s="367"/>
      <c r="AK2" s="367"/>
      <c r="AL2" s="368"/>
      <c r="AM2" s="370" t="s">
        <v>86</v>
      </c>
      <c r="AN2" s="367"/>
      <c r="AO2" s="367"/>
      <c r="AP2" s="367"/>
      <c r="AQ2" s="368"/>
      <c r="AR2" s="370" t="s">
        <v>87</v>
      </c>
      <c r="AS2" s="367"/>
      <c r="AT2" s="367"/>
      <c r="AU2" s="368"/>
      <c r="AV2" s="370" t="s">
        <v>88</v>
      </c>
      <c r="AW2" s="367"/>
      <c r="AX2" s="367"/>
      <c r="AY2" s="368"/>
      <c r="AZ2" s="370" t="s">
        <v>89</v>
      </c>
      <c r="BA2" s="367"/>
      <c r="BB2" s="367"/>
      <c r="BC2" s="367"/>
      <c r="BD2" s="368"/>
      <c r="BE2" s="370" t="s">
        <v>90</v>
      </c>
      <c r="BF2" s="367"/>
      <c r="BG2" s="367"/>
      <c r="BH2" s="368"/>
    </row>
    <row r="3" spans="1:60">
      <c r="A3" s="12" t="s">
        <v>91</v>
      </c>
      <c r="B3" s="15" t="str">
        <f ca="1">IF(B1&lt;B2,"behide","advance")</f>
        <v>behide</v>
      </c>
      <c r="I3" s="16">
        <v>1</v>
      </c>
      <c r="J3" s="16">
        <v>1</v>
      </c>
      <c r="K3" s="16">
        <v>1</v>
      </c>
      <c r="L3" s="16">
        <v>1</v>
      </c>
      <c r="M3" s="16">
        <v>2</v>
      </c>
      <c r="N3" s="16">
        <v>2</v>
      </c>
      <c r="O3" s="16">
        <v>2</v>
      </c>
      <c r="P3" s="16">
        <v>2</v>
      </c>
      <c r="Q3" s="16">
        <v>3</v>
      </c>
      <c r="R3" s="16">
        <v>3</v>
      </c>
      <c r="S3" s="16">
        <v>3</v>
      </c>
      <c r="T3" s="16">
        <v>3</v>
      </c>
      <c r="U3" s="16">
        <v>3</v>
      </c>
      <c r="V3" s="16">
        <v>4</v>
      </c>
      <c r="W3" s="16">
        <v>4</v>
      </c>
      <c r="X3" s="16">
        <v>4</v>
      </c>
      <c r="Y3" s="16">
        <v>4</v>
      </c>
      <c r="Z3" s="16">
        <v>5</v>
      </c>
      <c r="AA3" s="16">
        <v>5</v>
      </c>
      <c r="AB3" s="16">
        <v>5</v>
      </c>
      <c r="AC3" s="16">
        <v>5</v>
      </c>
      <c r="AD3" s="16">
        <v>6</v>
      </c>
      <c r="AE3" s="16">
        <v>6</v>
      </c>
      <c r="AF3" s="16">
        <v>6</v>
      </c>
      <c r="AG3" s="16">
        <v>6</v>
      </c>
      <c r="AH3" s="16">
        <v>6</v>
      </c>
      <c r="AI3" s="16">
        <v>7</v>
      </c>
      <c r="AJ3" s="16">
        <v>7</v>
      </c>
      <c r="AK3" s="16">
        <v>7</v>
      </c>
      <c r="AL3" s="16">
        <v>7</v>
      </c>
      <c r="AM3" s="16">
        <v>8</v>
      </c>
      <c r="AN3" s="16">
        <v>8</v>
      </c>
      <c r="AO3" s="16">
        <v>8</v>
      </c>
      <c r="AP3" s="16">
        <v>8</v>
      </c>
      <c r="AQ3" s="16">
        <v>8</v>
      </c>
      <c r="AR3" s="16">
        <v>9</v>
      </c>
      <c r="AS3" s="16">
        <v>9</v>
      </c>
      <c r="AT3" s="16">
        <v>9</v>
      </c>
      <c r="AU3" s="16">
        <v>9</v>
      </c>
      <c r="AV3" s="16">
        <v>10</v>
      </c>
      <c r="AW3" s="16">
        <v>10</v>
      </c>
      <c r="AX3" s="16">
        <v>10</v>
      </c>
      <c r="AY3" s="16">
        <v>10</v>
      </c>
      <c r="AZ3" s="16">
        <v>11</v>
      </c>
      <c r="BA3" s="16">
        <v>11</v>
      </c>
      <c r="BB3" s="16">
        <v>11</v>
      </c>
      <c r="BC3" s="16">
        <v>11</v>
      </c>
      <c r="BD3" s="16">
        <v>11</v>
      </c>
      <c r="BE3" s="16">
        <v>12</v>
      </c>
      <c r="BF3" s="16">
        <v>12</v>
      </c>
      <c r="BG3" s="16">
        <v>12</v>
      </c>
      <c r="BH3" s="16">
        <v>12</v>
      </c>
    </row>
    <row r="4" spans="1:60">
      <c r="B4" s="14"/>
      <c r="I4" s="17">
        <f t="shared" ref="I4:AN4" si="0">DATE(2026, I$3, I5)</f>
        <v>46027</v>
      </c>
      <c r="J4" s="17">
        <f t="shared" si="0"/>
        <v>46034</v>
      </c>
      <c r="K4" s="17">
        <f t="shared" si="0"/>
        <v>46041</v>
      </c>
      <c r="L4" s="17">
        <f t="shared" si="0"/>
        <v>46048</v>
      </c>
      <c r="M4" s="17">
        <f t="shared" si="0"/>
        <v>46055</v>
      </c>
      <c r="N4" s="17">
        <f t="shared" si="0"/>
        <v>46062</v>
      </c>
      <c r="O4" s="17">
        <f t="shared" si="0"/>
        <v>46069</v>
      </c>
      <c r="P4" s="17">
        <f t="shared" si="0"/>
        <v>46076</v>
      </c>
      <c r="Q4" s="17">
        <f t="shared" si="0"/>
        <v>46083</v>
      </c>
      <c r="R4" s="17">
        <f t="shared" si="0"/>
        <v>46090</v>
      </c>
      <c r="S4" s="17">
        <f t="shared" si="0"/>
        <v>46097</v>
      </c>
      <c r="T4" s="17">
        <f t="shared" si="0"/>
        <v>46104</v>
      </c>
      <c r="U4" s="17">
        <f t="shared" si="0"/>
        <v>46111</v>
      </c>
      <c r="V4" s="17">
        <f t="shared" si="0"/>
        <v>46118</v>
      </c>
      <c r="W4" s="17">
        <f t="shared" si="0"/>
        <v>46125</v>
      </c>
      <c r="X4" s="17">
        <f t="shared" si="0"/>
        <v>46132</v>
      </c>
      <c r="Y4" s="17">
        <f t="shared" si="0"/>
        <v>46139</v>
      </c>
      <c r="Z4" s="17">
        <f t="shared" si="0"/>
        <v>46146</v>
      </c>
      <c r="AA4" s="17">
        <f t="shared" si="0"/>
        <v>46153</v>
      </c>
      <c r="AB4" s="17">
        <f t="shared" si="0"/>
        <v>46160</v>
      </c>
      <c r="AC4" s="17">
        <f t="shared" si="0"/>
        <v>46167</v>
      </c>
      <c r="AD4" s="17">
        <f t="shared" si="0"/>
        <v>46174</v>
      </c>
      <c r="AE4" s="17">
        <f t="shared" si="0"/>
        <v>46181</v>
      </c>
      <c r="AF4" s="17">
        <f t="shared" si="0"/>
        <v>46188</v>
      </c>
      <c r="AG4" s="17">
        <f t="shared" si="0"/>
        <v>46195</v>
      </c>
      <c r="AH4" s="17">
        <f t="shared" si="0"/>
        <v>46202</v>
      </c>
      <c r="AI4" s="17">
        <f t="shared" si="0"/>
        <v>46209</v>
      </c>
      <c r="AJ4" s="17">
        <f t="shared" si="0"/>
        <v>46216</v>
      </c>
      <c r="AK4" s="17">
        <f t="shared" si="0"/>
        <v>46223</v>
      </c>
      <c r="AL4" s="17">
        <f t="shared" si="0"/>
        <v>46230</v>
      </c>
      <c r="AM4" s="17">
        <f t="shared" si="0"/>
        <v>46237</v>
      </c>
      <c r="AN4" s="17">
        <f t="shared" si="0"/>
        <v>46244</v>
      </c>
      <c r="AO4" s="17">
        <f t="shared" ref="AO4:BH4" si="1">DATE(2026, AO$3, AO5)</f>
        <v>46251</v>
      </c>
      <c r="AP4" s="17">
        <f t="shared" si="1"/>
        <v>46258</v>
      </c>
      <c r="AQ4" s="17">
        <f t="shared" si="1"/>
        <v>46265</v>
      </c>
      <c r="AR4" s="17">
        <f t="shared" si="1"/>
        <v>46272</v>
      </c>
      <c r="AS4" s="17">
        <f t="shared" si="1"/>
        <v>46279</v>
      </c>
      <c r="AT4" s="17">
        <f t="shared" si="1"/>
        <v>46286</v>
      </c>
      <c r="AU4" s="17">
        <f t="shared" si="1"/>
        <v>46293</v>
      </c>
      <c r="AV4" s="17">
        <f t="shared" si="1"/>
        <v>46300</v>
      </c>
      <c r="AW4" s="17">
        <f t="shared" si="1"/>
        <v>46307</v>
      </c>
      <c r="AX4" s="17">
        <f t="shared" si="1"/>
        <v>46314</v>
      </c>
      <c r="AY4" s="17">
        <f t="shared" si="1"/>
        <v>46321</v>
      </c>
      <c r="AZ4" s="17">
        <f t="shared" si="1"/>
        <v>46328</v>
      </c>
      <c r="BA4" s="17">
        <f t="shared" si="1"/>
        <v>46335</v>
      </c>
      <c r="BB4" s="17">
        <f t="shared" si="1"/>
        <v>46342</v>
      </c>
      <c r="BC4" s="17">
        <f t="shared" si="1"/>
        <v>46349</v>
      </c>
      <c r="BD4" s="17">
        <f t="shared" si="1"/>
        <v>46356</v>
      </c>
      <c r="BE4" s="17">
        <f t="shared" si="1"/>
        <v>46363</v>
      </c>
      <c r="BF4" s="17">
        <f t="shared" si="1"/>
        <v>46370</v>
      </c>
      <c r="BG4" s="17">
        <f t="shared" si="1"/>
        <v>46377</v>
      </c>
      <c r="BH4" s="17">
        <f t="shared" si="1"/>
        <v>46384</v>
      </c>
    </row>
    <row r="5" spans="1:60">
      <c r="I5" s="18">
        <v>5</v>
      </c>
      <c r="J5" s="18">
        <v>12</v>
      </c>
      <c r="K5" s="18">
        <v>19</v>
      </c>
      <c r="L5" s="18">
        <v>26</v>
      </c>
      <c r="M5" s="18">
        <v>2</v>
      </c>
      <c r="N5" s="18">
        <v>9</v>
      </c>
      <c r="O5" s="18">
        <v>16</v>
      </c>
      <c r="P5" s="18">
        <v>23</v>
      </c>
      <c r="Q5" s="18">
        <v>2</v>
      </c>
      <c r="R5" s="18">
        <v>9</v>
      </c>
      <c r="S5" s="18">
        <v>16</v>
      </c>
      <c r="T5" s="18">
        <v>23</v>
      </c>
      <c r="U5" s="18">
        <v>30</v>
      </c>
      <c r="V5" s="18">
        <v>6</v>
      </c>
      <c r="W5" s="18">
        <v>13</v>
      </c>
      <c r="X5" s="18">
        <v>20</v>
      </c>
      <c r="Y5" s="18">
        <v>27</v>
      </c>
      <c r="Z5" s="19">
        <v>4</v>
      </c>
      <c r="AA5" s="18">
        <v>11</v>
      </c>
      <c r="AB5" s="18">
        <v>18</v>
      </c>
      <c r="AC5" s="18">
        <v>25</v>
      </c>
      <c r="AD5" s="18">
        <v>1</v>
      </c>
      <c r="AE5" s="18">
        <v>8</v>
      </c>
      <c r="AF5" s="18">
        <v>15</v>
      </c>
      <c r="AG5" s="18">
        <v>22</v>
      </c>
      <c r="AH5" s="18">
        <v>29</v>
      </c>
      <c r="AI5" s="18">
        <v>6</v>
      </c>
      <c r="AJ5" s="18">
        <v>13</v>
      </c>
      <c r="AK5" s="18">
        <v>20</v>
      </c>
      <c r="AL5" s="18">
        <v>27</v>
      </c>
      <c r="AM5" s="18">
        <v>3</v>
      </c>
      <c r="AN5" s="18">
        <v>10</v>
      </c>
      <c r="AO5" s="18">
        <v>17</v>
      </c>
      <c r="AP5" s="18">
        <v>24</v>
      </c>
      <c r="AQ5" s="18">
        <v>31</v>
      </c>
      <c r="AR5" s="18">
        <v>7</v>
      </c>
      <c r="AS5" s="18">
        <v>14</v>
      </c>
      <c r="AT5" s="18">
        <v>21</v>
      </c>
      <c r="AU5" s="18">
        <v>28</v>
      </c>
      <c r="AV5" s="18">
        <v>5</v>
      </c>
      <c r="AW5" s="18">
        <v>12</v>
      </c>
      <c r="AX5" s="18">
        <v>19</v>
      </c>
      <c r="AY5" s="18">
        <v>26</v>
      </c>
      <c r="AZ5" s="18">
        <v>2</v>
      </c>
      <c r="BA5" s="18">
        <v>9</v>
      </c>
      <c r="BB5" s="18">
        <v>16</v>
      </c>
      <c r="BC5" s="18">
        <v>23</v>
      </c>
      <c r="BD5" s="18">
        <v>30</v>
      </c>
      <c r="BE5" s="18">
        <v>7</v>
      </c>
      <c r="BF5" s="18">
        <v>14</v>
      </c>
      <c r="BG5" s="18">
        <v>21</v>
      </c>
      <c r="BH5" s="18">
        <v>28</v>
      </c>
    </row>
    <row r="6" spans="1:60" ht="15" customHeight="1" thickBot="1">
      <c r="A6" s="20" t="s">
        <v>92</v>
      </c>
      <c r="B6" s="20" t="s">
        <v>93</v>
      </c>
      <c r="C6" s="20" t="s">
        <v>94</v>
      </c>
      <c r="D6" s="20" t="s">
        <v>95</v>
      </c>
      <c r="E6" s="20" t="s">
        <v>96</v>
      </c>
      <c r="F6" s="20" t="s">
        <v>97</v>
      </c>
      <c r="G6" s="20" t="s">
        <v>98</v>
      </c>
      <c r="H6" s="20" t="s">
        <v>99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</row>
    <row r="7" spans="1:60" ht="15" customHeight="1" thickBot="1">
      <c r="A7" s="22" t="s">
        <v>100</v>
      </c>
      <c r="B7" s="22" t="s">
        <v>101</v>
      </c>
      <c r="C7" s="22" t="s">
        <v>102</v>
      </c>
      <c r="D7" s="23">
        <v>46027</v>
      </c>
      <c r="E7" s="23">
        <v>46038</v>
      </c>
      <c r="F7" s="22" t="s">
        <v>103</v>
      </c>
      <c r="G7" s="24">
        <f t="shared" ref="G7:G28" ca="1" si="2">IF(TODAY() &gt; E7, 1, IF(TODAY() &lt; D7, 0, (TODAY() - D7) / (E7 - D7)))</f>
        <v>1</v>
      </c>
      <c r="H7" s="25">
        <v>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</row>
    <row r="8" spans="1:60" ht="15" customHeight="1" thickBot="1">
      <c r="A8" s="22"/>
      <c r="B8" s="22"/>
      <c r="C8" s="22" t="s">
        <v>102</v>
      </c>
      <c r="D8" s="23">
        <v>46027</v>
      </c>
      <c r="E8" s="23">
        <v>46038</v>
      </c>
      <c r="F8" s="22" t="s">
        <v>103</v>
      </c>
      <c r="G8" s="24">
        <f t="shared" ca="1" si="2"/>
        <v>1</v>
      </c>
      <c r="H8" s="25">
        <v>1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</row>
    <row r="9" spans="1:60" ht="15" customHeight="1" thickBot="1">
      <c r="A9" s="22"/>
      <c r="B9" s="22"/>
      <c r="C9" s="22" t="s">
        <v>104</v>
      </c>
      <c r="D9" s="23">
        <v>46041</v>
      </c>
      <c r="E9" s="23">
        <v>46052</v>
      </c>
      <c r="F9" s="22" t="s">
        <v>105</v>
      </c>
      <c r="G9" s="24">
        <f t="shared" ca="1" si="2"/>
        <v>1</v>
      </c>
      <c r="H9" s="25">
        <v>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</row>
    <row r="10" spans="1:60" ht="15" customHeight="1" thickBot="1">
      <c r="A10" s="22"/>
      <c r="B10" s="22" t="s">
        <v>106</v>
      </c>
      <c r="C10" s="22" t="s">
        <v>107</v>
      </c>
      <c r="D10" s="23">
        <v>46055</v>
      </c>
      <c r="E10" s="23">
        <v>46066</v>
      </c>
      <c r="F10" s="22" t="s">
        <v>108</v>
      </c>
      <c r="G10" s="24">
        <f t="shared" ca="1" si="2"/>
        <v>1</v>
      </c>
      <c r="H10" s="25">
        <v>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</row>
    <row r="11" spans="1:60" ht="15" customHeight="1" thickBot="1">
      <c r="A11" s="22"/>
      <c r="B11" s="22"/>
      <c r="C11" s="22" t="s">
        <v>109</v>
      </c>
      <c r="D11" s="23">
        <v>46069</v>
      </c>
      <c r="E11" s="23">
        <v>46080</v>
      </c>
      <c r="F11" s="22" t="s">
        <v>110</v>
      </c>
      <c r="G11" s="24">
        <f t="shared" ca="1" si="2"/>
        <v>1</v>
      </c>
      <c r="H11" s="25">
        <v>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</row>
    <row r="12" spans="1:60" ht="15" customHeight="1" thickBot="1">
      <c r="A12" s="22"/>
      <c r="B12" s="22"/>
      <c r="C12" s="22" t="s">
        <v>111</v>
      </c>
      <c r="D12" s="23">
        <v>46083</v>
      </c>
      <c r="E12" s="23">
        <v>46094</v>
      </c>
      <c r="F12" s="22" t="s">
        <v>112</v>
      </c>
      <c r="G12" s="24">
        <f t="shared" ca="1" si="2"/>
        <v>1</v>
      </c>
      <c r="H12" s="25">
        <v>1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</row>
    <row r="13" spans="1:60" ht="15" customHeight="1" thickBot="1">
      <c r="A13" s="22"/>
      <c r="B13" s="22"/>
      <c r="C13" s="22" t="s">
        <v>113</v>
      </c>
      <c r="D13" s="23">
        <v>46097</v>
      </c>
      <c r="E13" s="23">
        <v>46108</v>
      </c>
      <c r="F13" s="22" t="s">
        <v>114</v>
      </c>
      <c r="G13" s="24">
        <f t="shared" ca="1" si="2"/>
        <v>1</v>
      </c>
      <c r="H13" s="25">
        <v>1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</row>
    <row r="14" spans="1:60" ht="15" customHeight="1" thickBot="1">
      <c r="A14" s="22" t="s">
        <v>115</v>
      </c>
      <c r="B14" s="22" t="s">
        <v>116</v>
      </c>
      <c r="C14" s="22" t="s">
        <v>117</v>
      </c>
      <c r="D14" s="23">
        <v>46118</v>
      </c>
      <c r="E14" s="23">
        <v>46129</v>
      </c>
      <c r="F14" s="22" t="s">
        <v>118</v>
      </c>
      <c r="G14" s="24">
        <f t="shared" ca="1" si="2"/>
        <v>1</v>
      </c>
      <c r="H14" s="25">
        <v>1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0" ht="15" customHeight="1" thickBot="1">
      <c r="A15" s="22"/>
      <c r="B15" s="22"/>
      <c r="C15" s="22" t="s">
        <v>119</v>
      </c>
      <c r="D15" s="23">
        <v>46132</v>
      </c>
      <c r="E15" s="23">
        <v>46143</v>
      </c>
      <c r="F15" s="22" t="s">
        <v>120</v>
      </c>
      <c r="G15" s="24">
        <f t="shared" ca="1" si="2"/>
        <v>1</v>
      </c>
      <c r="H15" s="25">
        <v>1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</row>
    <row r="16" spans="1:60" ht="15" customHeight="1" thickBot="1">
      <c r="A16" s="22"/>
      <c r="B16" s="22"/>
      <c r="C16" s="22" t="s">
        <v>121</v>
      </c>
      <c r="D16" s="23">
        <v>46146</v>
      </c>
      <c r="E16" s="23">
        <v>46157</v>
      </c>
      <c r="F16" s="22" t="s">
        <v>122</v>
      </c>
      <c r="G16" s="24">
        <f t="shared" ca="1" si="2"/>
        <v>1</v>
      </c>
      <c r="H16" s="25">
        <v>0.2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</row>
    <row r="17" spans="1:60" ht="15" customHeight="1" thickBot="1">
      <c r="A17" s="22"/>
      <c r="B17" s="22" t="s">
        <v>123</v>
      </c>
      <c r="C17" s="22" t="s">
        <v>124</v>
      </c>
      <c r="D17" s="23">
        <v>46160</v>
      </c>
      <c r="E17" s="23">
        <v>46171</v>
      </c>
      <c r="F17" s="22" t="s">
        <v>125</v>
      </c>
      <c r="G17" s="24">
        <f t="shared" ca="1" si="2"/>
        <v>1</v>
      </c>
      <c r="H17" s="25">
        <v>0.1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1:60" ht="15" customHeight="1" thickBot="1">
      <c r="A18" s="22"/>
      <c r="B18" s="22"/>
      <c r="C18" s="22" t="s">
        <v>126</v>
      </c>
      <c r="D18" s="23">
        <v>46174</v>
      </c>
      <c r="E18" s="23">
        <v>46185</v>
      </c>
      <c r="F18" s="22" t="s">
        <v>127</v>
      </c>
      <c r="G18" s="24">
        <f t="shared" ca="1" si="2"/>
        <v>1</v>
      </c>
      <c r="H18" s="25">
        <v>0.1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</row>
    <row r="19" spans="1:60" ht="15" customHeight="1" thickBot="1">
      <c r="A19" s="22"/>
      <c r="B19" s="22"/>
      <c r="C19" s="22" t="s">
        <v>128</v>
      </c>
      <c r="D19" s="23">
        <v>46188</v>
      </c>
      <c r="E19" s="23">
        <v>46199</v>
      </c>
      <c r="F19" s="22" t="s">
        <v>129</v>
      </c>
      <c r="G19" s="24">
        <f t="shared" ca="1" si="2"/>
        <v>1</v>
      </c>
      <c r="H19" s="25">
        <v>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</row>
    <row r="20" spans="1:60" ht="15" customHeight="1" thickBot="1">
      <c r="A20" s="22" t="s">
        <v>130</v>
      </c>
      <c r="B20" s="22" t="s">
        <v>131</v>
      </c>
      <c r="C20" s="22" t="s">
        <v>132</v>
      </c>
      <c r="D20" s="23">
        <v>46209</v>
      </c>
      <c r="E20" s="23">
        <v>46220</v>
      </c>
      <c r="F20" s="22" t="s">
        <v>133</v>
      </c>
      <c r="G20" s="24">
        <f t="shared" ca="1" si="2"/>
        <v>1</v>
      </c>
      <c r="H20" s="25">
        <v>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</row>
    <row r="21" spans="1:60" ht="15" customHeight="1" thickBot="1">
      <c r="A21" s="22"/>
      <c r="B21" s="22"/>
      <c r="C21" s="22" t="s">
        <v>134</v>
      </c>
      <c r="D21" s="23">
        <v>46223</v>
      </c>
      <c r="E21" s="23">
        <v>46234</v>
      </c>
      <c r="F21" s="22" t="s">
        <v>135</v>
      </c>
      <c r="G21" s="24">
        <f t="shared" ca="1" si="2"/>
        <v>1</v>
      </c>
      <c r="H21" s="25"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</row>
    <row r="22" spans="1:60" ht="15" customHeight="1" thickBot="1">
      <c r="A22" s="22"/>
      <c r="B22" s="22"/>
      <c r="C22" s="22" t="s">
        <v>136</v>
      </c>
      <c r="D22" s="23">
        <v>46237</v>
      </c>
      <c r="E22" s="23">
        <v>46248</v>
      </c>
      <c r="F22" s="26" t="s">
        <v>137</v>
      </c>
      <c r="G22" s="24">
        <f t="shared" ca="1" si="2"/>
        <v>1</v>
      </c>
      <c r="H22" s="25">
        <v>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</row>
    <row r="23" spans="1:60" ht="15" customHeight="1" thickBot="1">
      <c r="A23" s="22"/>
      <c r="B23" s="22" t="s">
        <v>138</v>
      </c>
      <c r="C23" s="22" t="s">
        <v>139</v>
      </c>
      <c r="D23" s="23">
        <v>46251</v>
      </c>
      <c r="E23" s="23">
        <v>46262</v>
      </c>
      <c r="F23" s="26" t="s">
        <v>140</v>
      </c>
      <c r="G23" s="24">
        <f t="shared" ca="1" si="2"/>
        <v>0.63636363636363635</v>
      </c>
      <c r="H23" s="25"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</row>
    <row r="24" spans="1:60" ht="15" customHeight="1" thickBot="1">
      <c r="A24" s="22"/>
      <c r="B24" s="22"/>
      <c r="C24" s="22" t="s">
        <v>141</v>
      </c>
      <c r="D24" s="23">
        <v>46265</v>
      </c>
      <c r="E24" s="23">
        <v>46276</v>
      </c>
      <c r="F24" s="26" t="s">
        <v>142</v>
      </c>
      <c r="G24" s="24">
        <f t="shared" ca="1" si="2"/>
        <v>0</v>
      </c>
      <c r="H24" s="25"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</row>
    <row r="25" spans="1:60" ht="15" customHeight="1" thickBot="1">
      <c r="A25" s="22" t="s">
        <v>143</v>
      </c>
      <c r="B25" s="22" t="s">
        <v>144</v>
      </c>
      <c r="C25" s="22" t="s">
        <v>145</v>
      </c>
      <c r="D25" s="23">
        <v>46300</v>
      </c>
      <c r="E25" s="23">
        <v>46311</v>
      </c>
      <c r="F25" s="26" t="s">
        <v>24</v>
      </c>
      <c r="G25" s="24">
        <f t="shared" ca="1" si="2"/>
        <v>0</v>
      </c>
      <c r="H25" s="25"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</row>
    <row r="26" spans="1:60" ht="15" customHeight="1" thickBot="1">
      <c r="A26" s="22"/>
      <c r="B26" s="22"/>
      <c r="C26" s="22" t="s">
        <v>146</v>
      </c>
      <c r="D26" s="23">
        <v>46314</v>
      </c>
      <c r="E26" s="23">
        <v>46325</v>
      </c>
      <c r="F26" s="26" t="s">
        <v>26</v>
      </c>
      <c r="G26" s="24">
        <f t="shared" ca="1" si="2"/>
        <v>0</v>
      </c>
      <c r="H26" s="25">
        <v>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</row>
    <row r="27" spans="1:60" ht="15" customHeight="1" thickBot="1">
      <c r="A27" s="22"/>
      <c r="B27" s="22"/>
      <c r="C27" s="22" t="s">
        <v>147</v>
      </c>
      <c r="D27" s="23">
        <v>46328</v>
      </c>
      <c r="E27" s="23">
        <v>46339</v>
      </c>
      <c r="F27" s="26" t="s">
        <v>28</v>
      </c>
      <c r="G27" s="24">
        <f t="shared" ca="1" si="2"/>
        <v>0</v>
      </c>
      <c r="H27" s="25">
        <v>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</row>
    <row r="28" spans="1:60" ht="15" customHeight="1" thickBot="1">
      <c r="A28" s="22"/>
      <c r="B28" s="22" t="s">
        <v>148</v>
      </c>
      <c r="C28" s="22" t="s">
        <v>149</v>
      </c>
      <c r="D28" s="23">
        <v>46342</v>
      </c>
      <c r="E28" s="23">
        <v>46381</v>
      </c>
      <c r="F28" s="26" t="s">
        <v>150</v>
      </c>
      <c r="G28" s="24">
        <f t="shared" ca="1" si="2"/>
        <v>0</v>
      </c>
      <c r="H28" s="25"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</row>
  </sheetData>
  <mergeCells count="13">
    <mergeCell ref="I1:BH1"/>
    <mergeCell ref="Q2:U2"/>
    <mergeCell ref="AM2:AQ2"/>
    <mergeCell ref="AZ2:BD2"/>
    <mergeCell ref="V2:Y2"/>
    <mergeCell ref="AD2:AH2"/>
    <mergeCell ref="Z2:AC2"/>
    <mergeCell ref="M2:P2"/>
    <mergeCell ref="AR2:AU2"/>
    <mergeCell ref="I2:L2"/>
    <mergeCell ref="AV2:AY2"/>
    <mergeCell ref="AI2:AL2"/>
    <mergeCell ref="BE2:BH2"/>
  </mergeCells>
  <conditionalFormatting sqref="H7:H28">
    <cfRule type="dataBar" priority="1">
      <dataBar>
        <cfvo type="min"/>
        <cfvo type="max"/>
        <color rgb="FFFFB628"/>
      </dataBar>
    </cfRule>
  </conditionalFormatting>
  <conditionalFormatting sqref="I7:BH28">
    <cfRule type="expression" dxfId="18" priority="2">
      <formula>AND(I$4&gt;=$D7, I$4&lt;=$E7)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5"/>
  <sheetViews>
    <sheetView showGridLines="0" topLeftCell="E1" zoomScale="80" zoomScaleNormal="80" workbookViewId="0">
      <selection activeCell="I1" sqref="I1"/>
    </sheetView>
  </sheetViews>
  <sheetFormatPr defaultRowHeight="14.5"/>
  <cols>
    <col min="1" max="1" width="14.1796875" customWidth="1"/>
    <col min="2" max="2" width="19.54296875" customWidth="1"/>
    <col min="3" max="3" width="29.1796875" customWidth="1"/>
    <col min="4" max="4" width="12.7265625" customWidth="1"/>
    <col min="5" max="5" width="12.54296875" customWidth="1"/>
    <col min="6" max="7" width="12.26953125" customWidth="1"/>
    <col min="8" max="8" width="16.26953125" customWidth="1"/>
    <col min="9" max="60" width="4.54296875" customWidth="1"/>
  </cols>
  <sheetData>
    <row r="1" spans="1:60">
      <c r="A1" s="12" t="s">
        <v>76</v>
      </c>
      <c r="B1" s="14">
        <f>AVERAGE(H7:H25)</f>
        <v>0.59937499999999999</v>
      </c>
      <c r="I1" s="369" t="s">
        <v>77</v>
      </c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7"/>
      <c r="BC1" s="367"/>
      <c r="BD1" s="367"/>
      <c r="BE1" s="367"/>
      <c r="BF1" s="367"/>
      <c r="BG1" s="367"/>
      <c r="BH1" s="368"/>
    </row>
    <row r="2" spans="1:60">
      <c r="A2" s="12" t="s">
        <v>78</v>
      </c>
      <c r="B2" s="14">
        <f t="array" aca="1" ref="B2" ca="1">AVERAGE(_xlfn.MAP(D7:D25, E7:E25, _xlfn.LAMBDA(_xlpm.s,_xlpm.e,
  IF(TODAY() &gt; _xlpm.e, 1,
  IF(TODAY() &lt; _xlpm.s, 0,
  (TODAY() - _xlpm.s) / (_xlpm.e - _xlpm.s))))))</f>
        <v>1</v>
      </c>
      <c r="I2" s="370" t="s">
        <v>79</v>
      </c>
      <c r="J2" s="367"/>
      <c r="K2" s="367"/>
      <c r="L2" s="368"/>
      <c r="M2" s="370" t="s">
        <v>80</v>
      </c>
      <c r="N2" s="367"/>
      <c r="O2" s="367"/>
      <c r="P2" s="368"/>
      <c r="Q2" s="370" t="s">
        <v>81</v>
      </c>
      <c r="R2" s="367"/>
      <c r="S2" s="367"/>
      <c r="T2" s="367"/>
      <c r="U2" s="368"/>
      <c r="V2" s="370" t="s">
        <v>82</v>
      </c>
      <c r="W2" s="367"/>
      <c r="X2" s="367"/>
      <c r="Y2" s="368"/>
      <c r="Z2" s="370" t="s">
        <v>83</v>
      </c>
      <c r="AA2" s="367"/>
      <c r="AB2" s="367"/>
      <c r="AC2" s="368"/>
      <c r="AD2" s="370" t="s">
        <v>84</v>
      </c>
      <c r="AE2" s="367"/>
      <c r="AF2" s="367"/>
      <c r="AG2" s="367"/>
      <c r="AH2" s="368"/>
      <c r="AI2" s="370" t="s">
        <v>85</v>
      </c>
      <c r="AJ2" s="367"/>
      <c r="AK2" s="367"/>
      <c r="AL2" s="368"/>
      <c r="AM2" s="370" t="s">
        <v>86</v>
      </c>
      <c r="AN2" s="367"/>
      <c r="AO2" s="367"/>
      <c r="AP2" s="367"/>
      <c r="AQ2" s="368"/>
      <c r="AR2" s="370" t="s">
        <v>87</v>
      </c>
      <c r="AS2" s="367"/>
      <c r="AT2" s="367"/>
      <c r="AU2" s="368"/>
      <c r="AV2" s="370" t="s">
        <v>88</v>
      </c>
      <c r="AW2" s="367"/>
      <c r="AX2" s="367"/>
      <c r="AY2" s="368"/>
      <c r="AZ2" s="370" t="s">
        <v>89</v>
      </c>
      <c r="BA2" s="367"/>
      <c r="BB2" s="367"/>
      <c r="BC2" s="367"/>
      <c r="BD2" s="368"/>
      <c r="BE2" s="370" t="s">
        <v>90</v>
      </c>
      <c r="BF2" s="367"/>
      <c r="BG2" s="367"/>
      <c r="BH2" s="368"/>
    </row>
    <row r="3" spans="1:60">
      <c r="A3" s="12" t="s">
        <v>91</v>
      </c>
      <c r="B3" s="15" t="str">
        <f ca="1">IF(B1&lt;B2,"behide","advance")</f>
        <v>behide</v>
      </c>
      <c r="I3" s="16">
        <v>1</v>
      </c>
      <c r="J3" s="16">
        <v>1</v>
      </c>
      <c r="K3" s="16">
        <v>1</v>
      </c>
      <c r="L3" s="16">
        <v>1</v>
      </c>
      <c r="M3" s="16">
        <v>2</v>
      </c>
      <c r="N3" s="16">
        <v>2</v>
      </c>
      <c r="O3" s="16">
        <v>2</v>
      </c>
      <c r="P3" s="16">
        <v>2</v>
      </c>
      <c r="Q3" s="16">
        <v>3</v>
      </c>
      <c r="R3" s="16">
        <v>3</v>
      </c>
      <c r="S3" s="16">
        <v>3</v>
      </c>
      <c r="T3" s="16">
        <v>3</v>
      </c>
      <c r="U3" s="16">
        <v>3</v>
      </c>
      <c r="V3" s="16">
        <v>4</v>
      </c>
      <c r="W3" s="16">
        <v>4</v>
      </c>
      <c r="X3" s="16">
        <v>4</v>
      </c>
      <c r="Y3" s="16">
        <v>4</v>
      </c>
      <c r="Z3" s="16">
        <v>5</v>
      </c>
      <c r="AA3" s="16">
        <v>5</v>
      </c>
      <c r="AB3" s="16">
        <v>5</v>
      </c>
      <c r="AC3" s="16">
        <v>5</v>
      </c>
      <c r="AD3" s="16">
        <v>6</v>
      </c>
      <c r="AE3" s="16">
        <v>6</v>
      </c>
      <c r="AF3" s="16">
        <v>6</v>
      </c>
      <c r="AG3" s="16">
        <v>6</v>
      </c>
      <c r="AH3" s="16">
        <v>6</v>
      </c>
      <c r="AI3" s="16">
        <v>7</v>
      </c>
      <c r="AJ3" s="16">
        <v>7</v>
      </c>
      <c r="AK3" s="16">
        <v>7</v>
      </c>
      <c r="AL3" s="16">
        <v>7</v>
      </c>
      <c r="AM3" s="16">
        <v>8</v>
      </c>
      <c r="AN3" s="16">
        <v>8</v>
      </c>
      <c r="AO3" s="16">
        <v>8</v>
      </c>
      <c r="AP3" s="16">
        <v>8</v>
      </c>
      <c r="AQ3" s="16">
        <v>8</v>
      </c>
      <c r="AR3" s="16">
        <v>9</v>
      </c>
      <c r="AS3" s="16">
        <v>9</v>
      </c>
      <c r="AT3" s="16">
        <v>9</v>
      </c>
      <c r="AU3" s="16">
        <v>9</v>
      </c>
      <c r="AV3" s="16">
        <v>10</v>
      </c>
      <c r="AW3" s="16">
        <v>10</v>
      </c>
      <c r="AX3" s="16">
        <v>10</v>
      </c>
      <c r="AY3" s="16">
        <v>10</v>
      </c>
      <c r="AZ3" s="16">
        <v>11</v>
      </c>
      <c r="BA3" s="16">
        <v>11</v>
      </c>
      <c r="BB3" s="16">
        <v>11</v>
      </c>
      <c r="BC3" s="16">
        <v>11</v>
      </c>
      <c r="BD3" s="16">
        <v>11</v>
      </c>
      <c r="BE3" s="16">
        <v>12</v>
      </c>
      <c r="BF3" s="16">
        <v>12</v>
      </c>
      <c r="BG3" s="16">
        <v>12</v>
      </c>
      <c r="BH3" s="16">
        <v>12</v>
      </c>
    </row>
    <row r="4" spans="1:60">
      <c r="B4" s="14"/>
      <c r="I4" s="17">
        <f t="shared" ref="I4:AN4" si="0">DATE(2026, I$3, I5)</f>
        <v>46027</v>
      </c>
      <c r="J4" s="17">
        <f t="shared" si="0"/>
        <v>46034</v>
      </c>
      <c r="K4" s="17">
        <f t="shared" si="0"/>
        <v>46041</v>
      </c>
      <c r="L4" s="17">
        <f t="shared" si="0"/>
        <v>46048</v>
      </c>
      <c r="M4" s="17">
        <f t="shared" si="0"/>
        <v>46055</v>
      </c>
      <c r="N4" s="17">
        <f t="shared" si="0"/>
        <v>46062</v>
      </c>
      <c r="O4" s="17">
        <f t="shared" si="0"/>
        <v>46069</v>
      </c>
      <c r="P4" s="17">
        <f t="shared" si="0"/>
        <v>46076</v>
      </c>
      <c r="Q4" s="17">
        <f t="shared" si="0"/>
        <v>46083</v>
      </c>
      <c r="R4" s="17">
        <f t="shared" si="0"/>
        <v>46090</v>
      </c>
      <c r="S4" s="17">
        <f t="shared" si="0"/>
        <v>46097</v>
      </c>
      <c r="T4" s="17">
        <f t="shared" si="0"/>
        <v>46104</v>
      </c>
      <c r="U4" s="17">
        <f t="shared" si="0"/>
        <v>46111</v>
      </c>
      <c r="V4" s="17">
        <f t="shared" si="0"/>
        <v>46118</v>
      </c>
      <c r="W4" s="17">
        <f t="shared" si="0"/>
        <v>46125</v>
      </c>
      <c r="X4" s="17">
        <f t="shared" si="0"/>
        <v>46132</v>
      </c>
      <c r="Y4" s="17">
        <f t="shared" si="0"/>
        <v>46139</v>
      </c>
      <c r="Z4" s="17">
        <f t="shared" si="0"/>
        <v>46146</v>
      </c>
      <c r="AA4" s="17">
        <f t="shared" si="0"/>
        <v>46153</v>
      </c>
      <c r="AB4" s="17">
        <f t="shared" si="0"/>
        <v>46160</v>
      </c>
      <c r="AC4" s="17">
        <f t="shared" si="0"/>
        <v>46167</v>
      </c>
      <c r="AD4" s="17">
        <f t="shared" si="0"/>
        <v>46174</v>
      </c>
      <c r="AE4" s="17">
        <f t="shared" si="0"/>
        <v>46181</v>
      </c>
      <c r="AF4" s="17">
        <f t="shared" si="0"/>
        <v>46188</v>
      </c>
      <c r="AG4" s="17">
        <f t="shared" si="0"/>
        <v>46195</v>
      </c>
      <c r="AH4" s="17">
        <f t="shared" si="0"/>
        <v>46202</v>
      </c>
      <c r="AI4" s="17">
        <f t="shared" si="0"/>
        <v>46209</v>
      </c>
      <c r="AJ4" s="17">
        <f t="shared" si="0"/>
        <v>46216</v>
      </c>
      <c r="AK4" s="17">
        <f t="shared" si="0"/>
        <v>46223</v>
      </c>
      <c r="AL4" s="17">
        <f t="shared" si="0"/>
        <v>46230</v>
      </c>
      <c r="AM4" s="17">
        <f t="shared" si="0"/>
        <v>46237</v>
      </c>
      <c r="AN4" s="17">
        <f t="shared" si="0"/>
        <v>46244</v>
      </c>
      <c r="AO4" s="17">
        <f t="shared" ref="AO4:BH4" si="1">DATE(2026, AO$3, AO5)</f>
        <v>46251</v>
      </c>
      <c r="AP4" s="17">
        <f t="shared" si="1"/>
        <v>46258</v>
      </c>
      <c r="AQ4" s="17">
        <f t="shared" si="1"/>
        <v>46265</v>
      </c>
      <c r="AR4" s="17">
        <f t="shared" si="1"/>
        <v>46272</v>
      </c>
      <c r="AS4" s="17">
        <f t="shared" si="1"/>
        <v>46279</v>
      </c>
      <c r="AT4" s="17">
        <f t="shared" si="1"/>
        <v>46286</v>
      </c>
      <c r="AU4" s="17">
        <f t="shared" si="1"/>
        <v>46293</v>
      </c>
      <c r="AV4" s="17">
        <f t="shared" si="1"/>
        <v>46300</v>
      </c>
      <c r="AW4" s="17">
        <f t="shared" si="1"/>
        <v>46307</v>
      </c>
      <c r="AX4" s="17">
        <f t="shared" si="1"/>
        <v>46314</v>
      </c>
      <c r="AY4" s="17">
        <f t="shared" si="1"/>
        <v>46321</v>
      </c>
      <c r="AZ4" s="17">
        <f t="shared" si="1"/>
        <v>46328</v>
      </c>
      <c r="BA4" s="17">
        <f t="shared" si="1"/>
        <v>46335</v>
      </c>
      <c r="BB4" s="17">
        <f t="shared" si="1"/>
        <v>46342</v>
      </c>
      <c r="BC4" s="17">
        <f t="shared" si="1"/>
        <v>46349</v>
      </c>
      <c r="BD4" s="17">
        <f t="shared" si="1"/>
        <v>46356</v>
      </c>
      <c r="BE4" s="17">
        <f t="shared" si="1"/>
        <v>46363</v>
      </c>
      <c r="BF4" s="17">
        <f t="shared" si="1"/>
        <v>46370</v>
      </c>
      <c r="BG4" s="17">
        <f t="shared" si="1"/>
        <v>46377</v>
      </c>
      <c r="BH4" s="17">
        <f t="shared" si="1"/>
        <v>46384</v>
      </c>
    </row>
    <row r="5" spans="1:60">
      <c r="I5" s="18">
        <v>5</v>
      </c>
      <c r="J5" s="18">
        <v>12</v>
      </c>
      <c r="K5" s="18">
        <v>19</v>
      </c>
      <c r="L5" s="18">
        <v>26</v>
      </c>
      <c r="M5" s="18">
        <v>2</v>
      </c>
      <c r="N5" s="18">
        <v>9</v>
      </c>
      <c r="O5" s="18">
        <v>16</v>
      </c>
      <c r="P5" s="18">
        <v>23</v>
      </c>
      <c r="Q5" s="18">
        <v>2</v>
      </c>
      <c r="R5" s="18">
        <v>9</v>
      </c>
      <c r="S5" s="18">
        <v>16</v>
      </c>
      <c r="T5" s="18">
        <v>23</v>
      </c>
      <c r="U5" s="18">
        <v>30</v>
      </c>
      <c r="V5" s="18">
        <v>6</v>
      </c>
      <c r="W5" s="18">
        <v>13</v>
      </c>
      <c r="X5" s="18">
        <v>20</v>
      </c>
      <c r="Y5" s="18">
        <v>27</v>
      </c>
      <c r="Z5" s="19">
        <v>4</v>
      </c>
      <c r="AA5" s="18">
        <v>11</v>
      </c>
      <c r="AB5" s="18">
        <v>18</v>
      </c>
      <c r="AC5" s="18">
        <v>25</v>
      </c>
      <c r="AD5" s="18">
        <v>1</v>
      </c>
      <c r="AE5" s="18">
        <v>8</v>
      </c>
      <c r="AF5" s="18">
        <v>15</v>
      </c>
      <c r="AG5" s="18">
        <v>22</v>
      </c>
      <c r="AH5" s="18">
        <v>29</v>
      </c>
      <c r="AI5" s="18">
        <v>6</v>
      </c>
      <c r="AJ5" s="18">
        <v>13</v>
      </c>
      <c r="AK5" s="18">
        <v>20</v>
      </c>
      <c r="AL5" s="18">
        <v>27</v>
      </c>
      <c r="AM5" s="18">
        <v>3</v>
      </c>
      <c r="AN5" s="18">
        <v>10</v>
      </c>
      <c r="AO5" s="18">
        <v>17</v>
      </c>
      <c r="AP5" s="18">
        <v>24</v>
      </c>
      <c r="AQ5" s="18">
        <v>31</v>
      </c>
      <c r="AR5" s="18">
        <v>7</v>
      </c>
      <c r="AS5" s="18">
        <v>14</v>
      </c>
      <c r="AT5" s="18">
        <v>21</v>
      </c>
      <c r="AU5" s="18">
        <v>28</v>
      </c>
      <c r="AV5" s="18">
        <v>5</v>
      </c>
      <c r="AW5" s="18">
        <v>12</v>
      </c>
      <c r="AX5" s="18">
        <v>19</v>
      </c>
      <c r="AY5" s="18">
        <v>26</v>
      </c>
      <c r="AZ5" s="18">
        <v>2</v>
      </c>
      <c r="BA5" s="18">
        <v>9</v>
      </c>
      <c r="BB5" s="18">
        <v>16</v>
      </c>
      <c r="BC5" s="18">
        <v>23</v>
      </c>
      <c r="BD5" s="18">
        <v>30</v>
      </c>
      <c r="BE5" s="18">
        <v>7</v>
      </c>
      <c r="BF5" s="18">
        <v>14</v>
      </c>
      <c r="BG5" s="18">
        <v>21</v>
      </c>
      <c r="BH5" s="18">
        <v>28</v>
      </c>
    </row>
    <row r="6" spans="1:60" ht="15" customHeight="1" thickBot="1">
      <c r="A6" s="20" t="s">
        <v>92</v>
      </c>
      <c r="B6" s="20" t="s">
        <v>93</v>
      </c>
      <c r="C6" s="20" t="s">
        <v>94</v>
      </c>
      <c r="D6" s="20" t="s">
        <v>95</v>
      </c>
      <c r="E6" s="20" t="s">
        <v>96</v>
      </c>
      <c r="F6" s="20" t="s">
        <v>97</v>
      </c>
      <c r="G6" s="20" t="s">
        <v>98</v>
      </c>
      <c r="H6" s="20" t="s">
        <v>99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</row>
    <row r="7" spans="1:60" ht="15" customHeight="1" thickBot="1">
      <c r="A7" s="27" t="s">
        <v>100</v>
      </c>
      <c r="B7" s="27"/>
      <c r="C7" s="27"/>
      <c r="D7" s="28">
        <v>46027</v>
      </c>
      <c r="E7" s="28">
        <v>46108</v>
      </c>
      <c r="F7" s="27"/>
      <c r="G7" s="29"/>
      <c r="H7" s="30">
        <v>1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</row>
    <row r="8" spans="1:60" ht="15" customHeight="1" thickBot="1">
      <c r="A8" s="31"/>
      <c r="B8" s="31" t="s">
        <v>101</v>
      </c>
      <c r="C8" s="31"/>
      <c r="D8" s="32">
        <v>46027</v>
      </c>
      <c r="E8" s="32">
        <v>46052</v>
      </c>
      <c r="F8" s="31"/>
      <c r="G8" s="33">
        <v>1</v>
      </c>
      <c r="H8" s="34">
        <v>1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</row>
    <row r="9" spans="1:60" ht="15" customHeight="1" thickBot="1">
      <c r="A9" s="22"/>
      <c r="B9" s="22"/>
      <c r="C9" s="22" t="s">
        <v>102</v>
      </c>
      <c r="D9" s="23">
        <v>46027</v>
      </c>
      <c r="E9" s="23">
        <v>46038</v>
      </c>
      <c r="F9" s="22" t="s">
        <v>103</v>
      </c>
      <c r="G9" s="24">
        <f ca="1">IF(TODAY() &gt; E9, 1, IF(TODAY() &lt; D9, 0, (TODAY() - D9) / (E9 - D9)))</f>
        <v>1</v>
      </c>
      <c r="H9" s="25">
        <v>1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</row>
    <row r="10" spans="1:60" ht="15" customHeight="1" thickBot="1">
      <c r="A10" s="22"/>
      <c r="B10" s="22"/>
      <c r="C10" s="22" t="s">
        <v>102</v>
      </c>
      <c r="D10" s="23">
        <v>46027</v>
      </c>
      <c r="E10" s="23">
        <v>46038</v>
      </c>
      <c r="F10" s="22" t="s">
        <v>103</v>
      </c>
      <c r="G10" s="24">
        <f ca="1">IF(TODAY() &gt; E10, 1, IF(TODAY() &lt; D10, 0, (TODAY() - D10) / (E10 - D10)))</f>
        <v>1</v>
      </c>
      <c r="H10" s="25">
        <v>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</row>
    <row r="11" spans="1:60" ht="15" customHeight="1" thickBot="1">
      <c r="A11" s="22"/>
      <c r="B11" s="22"/>
      <c r="C11" s="22" t="s">
        <v>104</v>
      </c>
      <c r="D11" s="23">
        <v>46041</v>
      </c>
      <c r="E11" s="23">
        <v>46052</v>
      </c>
      <c r="F11" s="22" t="s">
        <v>105</v>
      </c>
      <c r="G11" s="24">
        <f ca="1">IF(TODAY() &gt; E11, 1, IF(TODAY() &lt; D11, 0, (TODAY() - D11) / (E11 - D11)))</f>
        <v>1</v>
      </c>
      <c r="H11" s="25">
        <v>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</row>
    <row r="12" spans="1:60" ht="15" customHeight="1" thickBot="1">
      <c r="A12" s="31"/>
      <c r="B12" s="31" t="s">
        <v>106</v>
      </c>
      <c r="C12" s="31"/>
      <c r="D12" s="32">
        <v>46055</v>
      </c>
      <c r="E12" s="32">
        <v>46108</v>
      </c>
      <c r="F12" s="31"/>
      <c r="G12" s="33">
        <v>0.49</v>
      </c>
      <c r="H12" s="34">
        <v>0.5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</row>
    <row r="13" spans="1:60" ht="15" customHeight="1" thickBot="1">
      <c r="A13" s="22"/>
      <c r="B13" s="22"/>
      <c r="C13" s="22" t="s">
        <v>107</v>
      </c>
      <c r="D13" s="23">
        <v>46055</v>
      </c>
      <c r="E13" s="23">
        <v>46066</v>
      </c>
      <c r="F13" s="22" t="s">
        <v>108</v>
      </c>
      <c r="G13" s="24">
        <f ca="1">IF(TODAY() &gt; E13, 1, IF(TODAY() &lt; D13, 0, (TODAY() - D13) / (E13 - D13)))</f>
        <v>1</v>
      </c>
      <c r="H13" s="25">
        <v>0.5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</row>
    <row r="14" spans="1:60" ht="15" customHeight="1" thickBot="1">
      <c r="A14" s="22"/>
      <c r="B14" s="22"/>
      <c r="C14" s="22" t="s">
        <v>109</v>
      </c>
      <c r="D14" s="23">
        <v>46069</v>
      </c>
      <c r="E14" s="23">
        <v>46080</v>
      </c>
      <c r="F14" s="22" t="s">
        <v>110</v>
      </c>
      <c r="G14" s="24">
        <f ca="1">IF(TODAY() &gt; E14, 1, IF(TODAY() &lt; D14, 0, (TODAY() - D14) / (E14 - D14)))</f>
        <v>1</v>
      </c>
      <c r="H14" s="25">
        <v>0.5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0" ht="15" customHeight="1" thickBot="1">
      <c r="A15" s="22"/>
      <c r="B15" s="22"/>
      <c r="C15" s="22" t="s">
        <v>111</v>
      </c>
      <c r="D15" s="23">
        <v>46083</v>
      </c>
      <c r="E15" s="23">
        <v>46094</v>
      </c>
      <c r="F15" s="22" t="s">
        <v>112</v>
      </c>
      <c r="G15" s="24">
        <f ca="1">IF(TODAY() &gt; E15, 1, IF(TODAY() &lt; D15, 0, (TODAY() - D15) / (E15 - D15)))</f>
        <v>1</v>
      </c>
      <c r="H15" s="25">
        <v>0.5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</row>
    <row r="16" spans="1:60" ht="15" customHeight="1" thickBot="1">
      <c r="A16" s="22"/>
      <c r="B16" s="22"/>
      <c r="C16" s="22" t="s">
        <v>113</v>
      </c>
      <c r="D16" s="23">
        <v>46097</v>
      </c>
      <c r="E16" s="23">
        <v>46108</v>
      </c>
      <c r="F16" s="22" t="s">
        <v>114</v>
      </c>
      <c r="G16" s="24">
        <f ca="1">IF(TODAY() &gt; E16, 1, IF(TODAY() &lt; D16, 0, (TODAY() - D16) / (E16 - D16)))</f>
        <v>1</v>
      </c>
      <c r="H16" s="25">
        <v>0.5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</row>
    <row r="17" spans="1:60" ht="15" customHeight="1" thickBot="1">
      <c r="A17" s="27" t="s">
        <v>115</v>
      </c>
      <c r="B17" s="27"/>
      <c r="C17" s="27"/>
      <c r="D17" s="28">
        <v>46118</v>
      </c>
      <c r="E17" s="28">
        <v>46199</v>
      </c>
      <c r="F17" s="27"/>
      <c r="G17" s="29"/>
      <c r="H17" s="30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1:60" ht="15" customHeight="1" thickBot="1">
      <c r="A18" s="31"/>
      <c r="B18" s="31" t="s">
        <v>116</v>
      </c>
      <c r="C18" s="31"/>
      <c r="D18" s="32">
        <v>46118</v>
      </c>
      <c r="E18" s="32">
        <v>46157</v>
      </c>
      <c r="F18" s="31"/>
      <c r="G18" s="33"/>
      <c r="H18" s="34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</row>
    <row r="19" spans="1:60" ht="15" customHeight="1" thickBot="1">
      <c r="A19" s="22"/>
      <c r="B19" s="22"/>
      <c r="C19" s="22" t="s">
        <v>117</v>
      </c>
      <c r="D19" s="23">
        <v>46118</v>
      </c>
      <c r="E19" s="23">
        <v>46129</v>
      </c>
      <c r="F19" s="22" t="s">
        <v>118</v>
      </c>
      <c r="G19" s="24">
        <f ca="1">IF(TODAY() &gt; E19, 1, IF(TODAY() &lt; D19, 0, (TODAY() - D19) / (E19 - D19)))</f>
        <v>1</v>
      </c>
      <c r="H19" s="25">
        <v>1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</row>
    <row r="20" spans="1:60" ht="15" customHeight="1" thickBot="1">
      <c r="A20" s="22"/>
      <c r="B20" s="22"/>
      <c r="C20" s="22" t="s">
        <v>119</v>
      </c>
      <c r="D20" s="23">
        <v>46132</v>
      </c>
      <c r="E20" s="23">
        <v>46143</v>
      </c>
      <c r="F20" s="22" t="s">
        <v>120</v>
      </c>
      <c r="G20" s="24">
        <f ca="1">IF(TODAY() &gt; E20, 1, IF(TODAY() &lt; D20, 0, (TODAY() - D20) / (E20 - D20)))</f>
        <v>1</v>
      </c>
      <c r="H20" s="25">
        <v>1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</row>
    <row r="21" spans="1:60" ht="15" customHeight="1" thickBot="1">
      <c r="A21" s="22"/>
      <c r="B21" s="22"/>
      <c r="C21" s="22" t="s">
        <v>121</v>
      </c>
      <c r="D21" s="23">
        <v>46146</v>
      </c>
      <c r="E21" s="23">
        <v>46157</v>
      </c>
      <c r="F21" s="22" t="s">
        <v>122</v>
      </c>
      <c r="G21" s="24">
        <f ca="1">IF(TODAY() &gt; E21, 1, IF(TODAY() &lt; D21, 0, (TODAY() - D21) / (E21 - D21)))</f>
        <v>1</v>
      </c>
      <c r="H21" s="25">
        <v>0.09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</row>
    <row r="22" spans="1:60" ht="15" customHeight="1" thickBot="1">
      <c r="A22" s="31"/>
      <c r="B22" s="31" t="s">
        <v>123</v>
      </c>
      <c r="C22" s="31"/>
      <c r="D22" s="32">
        <v>46160</v>
      </c>
      <c r="E22" s="32">
        <v>46199</v>
      </c>
      <c r="F22" s="31"/>
      <c r="G22" s="33"/>
      <c r="H22" s="34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</row>
    <row r="23" spans="1:60" ht="15" customHeight="1" thickBot="1">
      <c r="A23" s="22"/>
      <c r="B23" s="22"/>
      <c r="C23" s="22" t="s">
        <v>124</v>
      </c>
      <c r="D23" s="23">
        <v>46160</v>
      </c>
      <c r="E23" s="23">
        <v>46171</v>
      </c>
      <c r="F23" s="22" t="s">
        <v>125</v>
      </c>
      <c r="G23" s="24">
        <f ca="1">IF(TODAY() &gt; E23, 1, IF(TODAY() &lt; D23, 0, (TODAY() - D23) / (E23 - D23)))</f>
        <v>1</v>
      </c>
      <c r="H23" s="25"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</row>
    <row r="24" spans="1:60" ht="15" customHeight="1" thickBot="1">
      <c r="A24" s="22"/>
      <c r="B24" s="22"/>
      <c r="C24" s="22" t="s">
        <v>126</v>
      </c>
      <c r="D24" s="23">
        <v>46174</v>
      </c>
      <c r="E24" s="23">
        <v>46185</v>
      </c>
      <c r="F24" s="22" t="s">
        <v>127</v>
      </c>
      <c r="G24" s="24">
        <f ca="1">IF(TODAY() &gt; E24, 1, IF(TODAY() &lt; D24, 0, (TODAY() - D24) / (E24 - D24)))</f>
        <v>1</v>
      </c>
      <c r="H24" s="25"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</row>
    <row r="25" spans="1:60" ht="15" customHeight="1" thickBot="1">
      <c r="A25" s="22"/>
      <c r="B25" s="22"/>
      <c r="C25" s="22" t="s">
        <v>128</v>
      </c>
      <c r="D25" s="23">
        <v>46188</v>
      </c>
      <c r="E25" s="23">
        <v>46199</v>
      </c>
      <c r="F25" s="22" t="s">
        <v>129</v>
      </c>
      <c r="G25" s="24">
        <f ca="1">IF(TODAY() &gt; E25, 1, IF(TODAY() &lt; D25, 0, (TODAY() - D25) / (E25 - D25)))</f>
        <v>1</v>
      </c>
      <c r="H25" s="25"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</row>
  </sheetData>
  <mergeCells count="13">
    <mergeCell ref="I1:BH1"/>
    <mergeCell ref="Q2:U2"/>
    <mergeCell ref="AM2:AQ2"/>
    <mergeCell ref="AZ2:BD2"/>
    <mergeCell ref="V2:Y2"/>
    <mergeCell ref="AD2:AH2"/>
    <mergeCell ref="Z2:AC2"/>
    <mergeCell ref="M2:P2"/>
    <mergeCell ref="AR2:AU2"/>
    <mergeCell ref="I2:L2"/>
    <mergeCell ref="AV2:AY2"/>
    <mergeCell ref="AI2:AL2"/>
    <mergeCell ref="BE2:BH2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B1" sqref="B1"/>
    </sheetView>
  </sheetViews>
  <sheetFormatPr defaultRowHeight="14.5" outlineLevelRow="1"/>
  <cols>
    <col min="1" max="1" width="31.81640625" customWidth="1"/>
    <col min="2" max="2" width="30" customWidth="1"/>
    <col min="3" max="4" width="15" style="10" customWidth="1"/>
    <col min="5" max="8" width="15" customWidth="1"/>
  </cols>
  <sheetData>
    <row r="1" spans="1:8">
      <c r="A1" t="s">
        <v>151</v>
      </c>
      <c r="B1" s="1">
        <f>AVERAGE(H6, H14)</f>
        <v>0.88624999999999998</v>
      </c>
    </row>
    <row r="2" spans="1:8">
      <c r="A2" t="s">
        <v>152</v>
      </c>
      <c r="B2" s="1">
        <f ca="1">AVERAGEIF(A6:A30, "MVP*", G6:G30)</f>
        <v>1</v>
      </c>
    </row>
    <row r="5" spans="1:8">
      <c r="A5" s="2" t="s">
        <v>153</v>
      </c>
      <c r="B5" s="2" t="s">
        <v>154</v>
      </c>
      <c r="C5" s="11" t="s">
        <v>155</v>
      </c>
      <c r="D5" s="11" t="s">
        <v>156</v>
      </c>
      <c r="E5" s="2" t="s">
        <v>15</v>
      </c>
      <c r="F5" s="2" t="s">
        <v>157</v>
      </c>
      <c r="G5" s="2" t="s">
        <v>158</v>
      </c>
      <c r="H5" s="2" t="s">
        <v>159</v>
      </c>
    </row>
    <row r="6" spans="1:8">
      <c r="A6" s="3" t="s">
        <v>160</v>
      </c>
      <c r="B6" s="3"/>
      <c r="C6" s="8">
        <v>46027</v>
      </c>
      <c r="D6" s="8">
        <v>46108</v>
      </c>
      <c r="E6" s="3" t="s">
        <v>161</v>
      </c>
      <c r="F6" s="3" t="s">
        <v>162</v>
      </c>
      <c r="G6" s="4">
        <f ca="1">AVERAGE(G7, G11)</f>
        <v>1</v>
      </c>
      <c r="H6" s="7">
        <f>AVERAGE(H8:H10, H12:H13,H16:H18)</f>
        <v>0.88624999999999998</v>
      </c>
    </row>
    <row r="7" spans="1:8">
      <c r="A7" s="5" t="s">
        <v>163</v>
      </c>
      <c r="B7" s="5"/>
      <c r="C7" s="9">
        <v>46027</v>
      </c>
      <c r="D7" s="9">
        <v>46052</v>
      </c>
      <c r="E7" s="5"/>
      <c r="F7" s="5" t="s">
        <v>162</v>
      </c>
      <c r="G7" s="6">
        <f ca="1">AVERAGE(G8:G10)</f>
        <v>1</v>
      </c>
      <c r="H7" s="5"/>
    </row>
    <row r="8" spans="1:8" outlineLevel="1">
      <c r="B8" t="s">
        <v>102</v>
      </c>
      <c r="C8" s="10">
        <v>46027</v>
      </c>
      <c r="D8" s="10">
        <v>46038</v>
      </c>
      <c r="E8" t="s">
        <v>103</v>
      </c>
      <c r="G8" s="1">
        <f ca="1">IF(TODAY() &gt; D8, 1, IF(TODAY() &lt; C8, 0, (TODAY() - C8) / (D8 - C8)))</f>
        <v>1</v>
      </c>
      <c r="H8" s="1">
        <v>1</v>
      </c>
    </row>
    <row r="9" spans="1:8" outlineLevel="1">
      <c r="B9" t="s">
        <v>164</v>
      </c>
      <c r="C9" s="10">
        <v>46027</v>
      </c>
      <c r="D9" s="10">
        <v>46038</v>
      </c>
      <c r="E9" t="s">
        <v>103</v>
      </c>
      <c r="G9" s="1">
        <f ca="1">IF(TODAY() &gt; D9, 1, IF(TODAY() &lt; C9, 0, (TODAY() - C9) / (D9 - C9)))</f>
        <v>1</v>
      </c>
      <c r="H9" s="1">
        <v>1</v>
      </c>
    </row>
    <row r="10" spans="1:8" outlineLevel="1">
      <c r="B10" t="s">
        <v>165</v>
      </c>
      <c r="C10" s="10">
        <v>46041</v>
      </c>
      <c r="D10" s="10">
        <v>46052</v>
      </c>
      <c r="E10" t="s">
        <v>105</v>
      </c>
      <c r="G10" s="1">
        <f ca="1">IF(TODAY() &gt; D10, 1, IF(TODAY() &lt; C10, 0, (TODAY() - C10) / (D10 - C10)))</f>
        <v>1</v>
      </c>
      <c r="H10" s="1">
        <v>1</v>
      </c>
    </row>
    <row r="11" spans="1:8">
      <c r="A11" s="5" t="s">
        <v>166</v>
      </c>
      <c r="B11" s="5"/>
      <c r="C11" s="9">
        <v>46055</v>
      </c>
      <c r="D11" s="9">
        <v>46108</v>
      </c>
      <c r="E11" s="5"/>
      <c r="F11" s="5" t="s">
        <v>162</v>
      </c>
      <c r="G11" s="6">
        <f ca="1">AVERAGE(G12:G13)</f>
        <v>1</v>
      </c>
      <c r="H11" s="5"/>
    </row>
    <row r="12" spans="1:8" outlineLevel="1">
      <c r="B12" t="s">
        <v>107</v>
      </c>
      <c r="C12" s="10">
        <v>46055</v>
      </c>
      <c r="D12" s="10">
        <v>46066</v>
      </c>
      <c r="E12" t="s">
        <v>108</v>
      </c>
      <c r="G12" s="1">
        <f ca="1">IF(TODAY() &gt; D12, 1, IF(TODAY() &lt; C12, 0, (TODAY() - C12) / (D12 - C12)))</f>
        <v>1</v>
      </c>
      <c r="H12" s="1">
        <v>1</v>
      </c>
    </row>
    <row r="13" spans="1:8" outlineLevel="1">
      <c r="B13" t="s">
        <v>109</v>
      </c>
      <c r="C13" s="10">
        <v>46069</v>
      </c>
      <c r="D13" s="10">
        <v>46080</v>
      </c>
      <c r="E13" t="s">
        <v>110</v>
      </c>
      <c r="G13" s="1">
        <f ca="1">IF(TODAY() &gt; D13, 1, IF(TODAY() &lt; C13, 0, (TODAY() - C13) / (D13 - C13)))</f>
        <v>1</v>
      </c>
      <c r="H13" s="1">
        <v>1</v>
      </c>
    </row>
    <row r="14" spans="1:8">
      <c r="A14" s="3" t="s">
        <v>167</v>
      </c>
      <c r="B14" s="3"/>
      <c r="C14" s="8">
        <v>46118</v>
      </c>
      <c r="D14" s="8">
        <v>46199</v>
      </c>
      <c r="E14" s="3" t="s">
        <v>168</v>
      </c>
      <c r="F14" s="3" t="s">
        <v>162</v>
      </c>
      <c r="G14" s="4">
        <f ca="1">AVERAGE(G15)</f>
        <v>1</v>
      </c>
      <c r="H14" s="3"/>
    </row>
    <row r="15" spans="1:8">
      <c r="A15" s="5" t="s">
        <v>169</v>
      </c>
      <c r="B15" s="5"/>
      <c r="C15" s="9">
        <v>46118</v>
      </c>
      <c r="D15" s="9">
        <v>46157</v>
      </c>
      <c r="E15" s="5"/>
      <c r="F15" s="5" t="s">
        <v>162</v>
      </c>
      <c r="G15" s="6">
        <f ca="1">AVERAGE(G16:G18)</f>
        <v>1</v>
      </c>
      <c r="H15" s="5"/>
    </row>
    <row r="16" spans="1:8" outlineLevel="1">
      <c r="B16" t="s">
        <v>117</v>
      </c>
      <c r="C16" s="10">
        <v>46118</v>
      </c>
      <c r="D16" s="10">
        <v>46129</v>
      </c>
      <c r="E16" t="s">
        <v>118</v>
      </c>
      <c r="G16" s="1">
        <f ca="1">IF(TODAY() &gt; D16, 1, IF(TODAY() &lt; C16, 0, (TODAY() - C16) / (D16 - C16)))</f>
        <v>1</v>
      </c>
      <c r="H16" s="1">
        <v>1</v>
      </c>
    </row>
    <row r="17" spans="2:8" outlineLevel="1">
      <c r="B17" t="s">
        <v>170</v>
      </c>
      <c r="C17" s="10">
        <v>46132</v>
      </c>
      <c r="D17" s="10">
        <v>46143</v>
      </c>
      <c r="E17" t="s">
        <v>120</v>
      </c>
      <c r="G17" s="1">
        <f ca="1">IF(TODAY() &gt; D17, 1, IF(TODAY() &lt; C17, 0, (TODAY() - C17) / (D17 - C17)))</f>
        <v>1</v>
      </c>
      <c r="H17" s="1">
        <v>1</v>
      </c>
    </row>
    <row r="18" spans="2:8" outlineLevel="1">
      <c r="B18" t="s">
        <v>121</v>
      </c>
      <c r="C18" s="10">
        <v>46146</v>
      </c>
      <c r="D18" s="10">
        <v>46157</v>
      </c>
      <c r="E18" t="s">
        <v>122</v>
      </c>
      <c r="G18" s="1">
        <f ca="1">IF(TODAY() &gt; D18, 1, IF(TODAY() &lt; C18, 0, (TODAY() - C18) / (D18 - C18)))</f>
        <v>1</v>
      </c>
      <c r="H18" s="1">
        <v>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topLeftCell="B1" workbookViewId="0">
      <selection activeCell="B1" sqref="B1"/>
    </sheetView>
  </sheetViews>
  <sheetFormatPr defaultRowHeight="14.5" outlineLevelRow="1"/>
  <cols>
    <col min="1" max="1" width="31.81640625" customWidth="1"/>
    <col min="2" max="2" width="30" customWidth="1"/>
    <col min="3" max="4" width="15" style="10" customWidth="1"/>
    <col min="5" max="8" width="15" customWidth="1"/>
  </cols>
  <sheetData>
    <row r="1" spans="1:8">
      <c r="A1" s="12" t="s">
        <v>151</v>
      </c>
      <c r="B1" s="13">
        <f>AVERAGEIF(A6:A18, "MVP*", H6:H18)</f>
        <v>0.84833333333333338</v>
      </c>
    </row>
    <row r="2" spans="1:8">
      <c r="A2" s="12" t="s">
        <v>152</v>
      </c>
      <c r="B2" s="13">
        <f ca="1">AVERAGEIF(A6:A18, "MVP*", G6:G18)</f>
        <v>1</v>
      </c>
    </row>
    <row r="5" spans="1:8">
      <c r="A5" s="2" t="s">
        <v>153</v>
      </c>
      <c r="B5" s="2" t="s">
        <v>154</v>
      </c>
      <c r="C5" s="11" t="s">
        <v>155</v>
      </c>
      <c r="D5" s="11" t="s">
        <v>156</v>
      </c>
      <c r="E5" s="2" t="s">
        <v>15</v>
      </c>
      <c r="F5" s="2" t="s">
        <v>157</v>
      </c>
      <c r="G5" s="2" t="s">
        <v>158</v>
      </c>
      <c r="H5" s="2" t="s">
        <v>159</v>
      </c>
    </row>
    <row r="6" spans="1:8">
      <c r="A6" s="3" t="s">
        <v>160</v>
      </c>
      <c r="B6" s="3"/>
      <c r="C6" s="8">
        <v>46027</v>
      </c>
      <c r="D6" s="8">
        <v>46108</v>
      </c>
      <c r="E6" s="3" t="s">
        <v>161</v>
      </c>
      <c r="F6" s="3" t="s">
        <v>162</v>
      </c>
      <c r="G6" s="4">
        <f ca="1">AVERAGE(G7, G11)</f>
        <v>1</v>
      </c>
      <c r="H6" s="7">
        <f>AVERAGE(H7, H11)</f>
        <v>1</v>
      </c>
    </row>
    <row r="7" spans="1:8">
      <c r="A7" s="5" t="s">
        <v>163</v>
      </c>
      <c r="B7" s="5"/>
      <c r="C7" s="9">
        <v>46027</v>
      </c>
      <c r="D7" s="9">
        <v>46052</v>
      </c>
      <c r="E7" s="5"/>
      <c r="F7" s="5" t="s">
        <v>162</v>
      </c>
      <c r="G7" s="6">
        <f ca="1">AVERAGE(G8:G10)</f>
        <v>1</v>
      </c>
      <c r="H7" s="6">
        <f>AVERAGE(H8:H10)</f>
        <v>1</v>
      </c>
    </row>
    <row r="8" spans="1:8" outlineLevel="1">
      <c r="B8" t="s">
        <v>102</v>
      </c>
      <c r="C8" s="10">
        <v>46027</v>
      </c>
      <c r="D8" s="10">
        <v>46038</v>
      </c>
      <c r="E8" t="s">
        <v>103</v>
      </c>
      <c r="G8" s="1">
        <f ca="1">IF(TODAY() &gt; D8, 1, IF(TODAY() &lt; C8, 0, (TODAY() - C8) / (D8 - C8)))</f>
        <v>1</v>
      </c>
      <c r="H8" s="1">
        <v>1</v>
      </c>
    </row>
    <row r="9" spans="1:8" outlineLevel="1">
      <c r="B9" t="s">
        <v>164</v>
      </c>
      <c r="C9" s="10">
        <v>46027</v>
      </c>
      <c r="D9" s="10">
        <v>46038</v>
      </c>
      <c r="E9" t="s">
        <v>103</v>
      </c>
      <c r="G9" s="1">
        <f ca="1">IF(TODAY() &gt; D9, 1, IF(TODAY() &lt; C9, 0, (TODAY() - C9) / (D9 - C9)))</f>
        <v>1</v>
      </c>
      <c r="H9" s="1">
        <v>1</v>
      </c>
    </row>
    <row r="10" spans="1:8" outlineLevel="1">
      <c r="B10" t="s">
        <v>165</v>
      </c>
      <c r="C10" s="10">
        <v>46041</v>
      </c>
      <c r="D10" s="10">
        <v>46052</v>
      </c>
      <c r="E10" t="s">
        <v>105</v>
      </c>
      <c r="G10" s="1">
        <f ca="1">IF(TODAY() &gt; D10, 1, IF(TODAY() &lt; C10, 0, (TODAY() - C10) / (D10 - C10)))</f>
        <v>1</v>
      </c>
      <c r="H10" s="1">
        <v>1</v>
      </c>
    </row>
    <row r="11" spans="1:8">
      <c r="A11" s="5" t="s">
        <v>166</v>
      </c>
      <c r="B11" s="5"/>
      <c r="C11" s="9">
        <v>46055</v>
      </c>
      <c r="D11" s="9">
        <v>46108</v>
      </c>
      <c r="E11" s="5"/>
      <c r="F11" s="5" t="s">
        <v>162</v>
      </c>
      <c r="G11" s="6">
        <f ca="1">AVERAGE(G12:G13)</f>
        <v>1</v>
      </c>
      <c r="H11" s="6">
        <f>AVERAGE(H12:H13)</f>
        <v>1</v>
      </c>
    </row>
    <row r="12" spans="1:8" outlineLevel="1">
      <c r="B12" t="s">
        <v>107</v>
      </c>
      <c r="C12" s="10">
        <v>46055</v>
      </c>
      <c r="D12" s="10">
        <v>46066</v>
      </c>
      <c r="E12" t="s">
        <v>108</v>
      </c>
      <c r="G12" s="1">
        <f ca="1">IF(TODAY() &gt; D12, 1, IF(TODAY() &lt; C12, 0, (TODAY() - C12) / (D12 - C12)))</f>
        <v>1</v>
      </c>
      <c r="H12" s="1">
        <v>1</v>
      </c>
    </row>
    <row r="13" spans="1:8" outlineLevel="1">
      <c r="B13" t="s">
        <v>109</v>
      </c>
      <c r="C13" s="10">
        <v>46069</v>
      </c>
      <c r="D13" s="10">
        <v>46080</v>
      </c>
      <c r="E13" t="s">
        <v>110</v>
      </c>
      <c r="G13" s="1">
        <f ca="1">IF(TODAY() &gt; D13, 1, IF(TODAY() &lt; C13, 0, (TODAY() - C13) / (D13 - C13)))</f>
        <v>1</v>
      </c>
      <c r="H13" s="1">
        <v>1</v>
      </c>
    </row>
    <row r="14" spans="1:8">
      <c r="A14" s="3" t="s">
        <v>167</v>
      </c>
      <c r="B14" s="3"/>
      <c r="C14" s="8">
        <v>46118</v>
      </c>
      <c r="D14" s="8">
        <v>46199</v>
      </c>
      <c r="E14" s="3" t="s">
        <v>168</v>
      </c>
      <c r="F14" s="3" t="s">
        <v>162</v>
      </c>
      <c r="G14" s="4">
        <f ca="1">AVERAGE(G15)</f>
        <v>1</v>
      </c>
      <c r="H14" s="7">
        <f>AVERAGE(H15)</f>
        <v>0.69666666666666666</v>
      </c>
    </row>
    <row r="15" spans="1:8">
      <c r="A15" s="5" t="s">
        <v>169</v>
      </c>
      <c r="B15" s="5"/>
      <c r="C15" s="9">
        <v>46118</v>
      </c>
      <c r="D15" s="9">
        <v>46157</v>
      </c>
      <c r="E15" s="5"/>
      <c r="F15" s="5" t="s">
        <v>162</v>
      </c>
      <c r="G15" s="6">
        <f ca="1">AVERAGE(G16:G18)</f>
        <v>1</v>
      </c>
      <c r="H15" s="6">
        <f>AVERAGE(H16:H18)</f>
        <v>0.69666666666666666</v>
      </c>
    </row>
    <row r="16" spans="1:8" outlineLevel="1">
      <c r="B16" t="s">
        <v>117</v>
      </c>
      <c r="C16" s="10">
        <v>46118</v>
      </c>
      <c r="D16" s="10">
        <v>46129</v>
      </c>
      <c r="E16" t="s">
        <v>118</v>
      </c>
      <c r="G16" s="1">
        <f ca="1">IF(TODAY() &gt; D16, 1, IF(TODAY() &lt; C16, 0, (TODAY() - C16) / (D16 - C16)))</f>
        <v>1</v>
      </c>
      <c r="H16" s="1">
        <v>1</v>
      </c>
    </row>
    <row r="17" spans="2:8" outlineLevel="1">
      <c r="B17" t="s">
        <v>170</v>
      </c>
      <c r="C17" s="10">
        <v>46132</v>
      </c>
      <c r="D17" s="10">
        <v>46143</v>
      </c>
      <c r="E17" t="s">
        <v>120</v>
      </c>
      <c r="G17" s="1">
        <f ca="1">IF(TODAY() &gt; D17, 1, IF(TODAY() &lt; C17, 0, (TODAY() - C17) / (D17 - C17)))</f>
        <v>1</v>
      </c>
      <c r="H17" s="1">
        <v>1</v>
      </c>
    </row>
    <row r="18" spans="2:8" outlineLevel="1">
      <c r="B18" t="s">
        <v>121</v>
      </c>
      <c r="C18" s="10">
        <v>46146</v>
      </c>
      <c r="D18" s="10">
        <v>46157</v>
      </c>
      <c r="E18" t="s">
        <v>122</v>
      </c>
      <c r="G18" s="1">
        <f ca="1">IF(TODAY() &gt; D18, 1, IF(TODAY() &lt; C18, 0, (TODAY() - C18) / (D18 - C18)))</f>
        <v>1</v>
      </c>
      <c r="H18" s="1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0"/>
  <sheetViews>
    <sheetView topLeftCell="A4" zoomScale="91" zoomScaleNormal="50" workbookViewId="0">
      <selection activeCell="B1" sqref="B1"/>
    </sheetView>
  </sheetViews>
  <sheetFormatPr defaultRowHeight="14.5" outlineLevelRow="1"/>
  <cols>
    <col min="1" max="1" width="31.453125" bestFit="1" customWidth="1"/>
    <col min="2" max="2" width="22.1796875" bestFit="1" customWidth="1"/>
    <col min="3" max="4" width="15" style="10" customWidth="1"/>
    <col min="5" max="5" width="9.1796875" bestFit="1" customWidth="1"/>
    <col min="6" max="6" width="6.54296875" bestFit="1" customWidth="1"/>
    <col min="7" max="7" width="6.453125" bestFit="1" customWidth="1"/>
    <col min="8" max="8" width="8" bestFit="1" customWidth="1"/>
    <col min="9" max="60" width="10.1796875" customWidth="1"/>
  </cols>
  <sheetData>
    <row r="1" spans="1:60">
      <c r="A1" s="12" t="s">
        <v>151</v>
      </c>
      <c r="B1" s="13">
        <f>AVERAGEIF(A7:A19, "MVP*", H7:H19)</f>
        <v>0.84833333333333338</v>
      </c>
      <c r="D1" s="10" t="s">
        <v>171</v>
      </c>
      <c r="E1" s="36">
        <v>46027</v>
      </c>
      <c r="I1" s="373" t="s">
        <v>77</v>
      </c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7"/>
      <c r="AG1" s="367"/>
      <c r="AH1" s="367"/>
      <c r="AI1" s="367"/>
      <c r="AJ1" s="367"/>
      <c r="AK1" s="367"/>
      <c r="AL1" s="367"/>
      <c r="AM1" s="367"/>
      <c r="AN1" s="367"/>
      <c r="AO1" s="367"/>
      <c r="AP1" s="367"/>
      <c r="AQ1" s="367"/>
      <c r="AR1" s="367"/>
      <c r="AS1" s="367"/>
      <c r="AT1" s="367"/>
      <c r="AU1" s="367"/>
      <c r="AV1" s="367"/>
      <c r="AW1" s="367"/>
      <c r="AX1" s="367"/>
      <c r="AY1" s="367"/>
      <c r="AZ1" s="367"/>
      <c r="BA1" s="367"/>
      <c r="BB1" s="367"/>
      <c r="BC1" s="367"/>
      <c r="BD1" s="367"/>
      <c r="BE1" s="367"/>
      <c r="BF1" s="367"/>
      <c r="BG1" s="367"/>
      <c r="BH1" s="368"/>
    </row>
    <row r="2" spans="1:60">
      <c r="A2" s="12" t="s">
        <v>152</v>
      </c>
      <c r="B2" s="13">
        <f ca="1">AVERAGEIF(A7:A19, "MVP*", G7:G19)</f>
        <v>1</v>
      </c>
      <c r="I2" s="370" t="s">
        <v>79</v>
      </c>
      <c r="J2" s="367"/>
      <c r="K2" s="367"/>
      <c r="L2" s="368"/>
      <c r="M2" s="370" t="s">
        <v>80</v>
      </c>
      <c r="N2" s="367"/>
      <c r="O2" s="367"/>
      <c r="P2" s="368"/>
      <c r="Q2" s="370" t="s">
        <v>81</v>
      </c>
      <c r="R2" s="367"/>
      <c r="S2" s="367"/>
      <c r="T2" s="367"/>
      <c r="U2" s="368"/>
      <c r="V2" s="370" t="s">
        <v>82</v>
      </c>
      <c r="W2" s="367"/>
      <c r="X2" s="367"/>
      <c r="Y2" s="368"/>
      <c r="Z2" s="370" t="s">
        <v>83</v>
      </c>
      <c r="AA2" s="367"/>
      <c r="AB2" s="367"/>
      <c r="AC2" s="368"/>
      <c r="AD2" s="370" t="s">
        <v>84</v>
      </c>
      <c r="AE2" s="367"/>
      <c r="AF2" s="367"/>
      <c r="AG2" s="367"/>
      <c r="AH2" s="368"/>
      <c r="AI2" s="370" t="s">
        <v>85</v>
      </c>
      <c r="AJ2" s="367"/>
      <c r="AK2" s="367"/>
      <c r="AL2" s="368"/>
      <c r="AM2" s="370" t="s">
        <v>86</v>
      </c>
      <c r="AN2" s="367"/>
      <c r="AO2" s="367"/>
      <c r="AP2" s="367"/>
      <c r="AQ2" s="368"/>
      <c r="AR2" s="370" t="s">
        <v>87</v>
      </c>
      <c r="AS2" s="367"/>
      <c r="AT2" s="367"/>
      <c r="AU2" s="368"/>
      <c r="AV2" s="370" t="s">
        <v>88</v>
      </c>
      <c r="AW2" s="367"/>
      <c r="AX2" s="367"/>
      <c r="AY2" s="368"/>
      <c r="AZ2" s="370" t="s">
        <v>89</v>
      </c>
      <c r="BA2" s="367"/>
      <c r="BB2" s="367"/>
      <c r="BC2" s="367"/>
      <c r="BD2" s="368"/>
      <c r="BE2" s="370" t="s">
        <v>90</v>
      </c>
      <c r="BF2" s="367"/>
      <c r="BG2" s="367"/>
      <c r="BH2" s="368"/>
    </row>
    <row r="3" spans="1:60" ht="16.5" customHeight="1">
      <c r="I3" s="16">
        <v>1</v>
      </c>
      <c r="J3" s="16">
        <v>1</v>
      </c>
      <c r="K3" s="16">
        <v>1</v>
      </c>
      <c r="L3" s="16">
        <v>1</v>
      </c>
      <c r="M3" s="16">
        <v>2</v>
      </c>
      <c r="N3" s="16">
        <v>2</v>
      </c>
      <c r="O3" s="16">
        <v>2</v>
      </c>
      <c r="P3" s="16">
        <v>2</v>
      </c>
      <c r="Q3" s="16">
        <v>3</v>
      </c>
      <c r="R3" s="16">
        <v>3</v>
      </c>
      <c r="S3" s="16">
        <v>3</v>
      </c>
      <c r="T3" s="16">
        <v>3</v>
      </c>
      <c r="U3" s="16">
        <v>3</v>
      </c>
      <c r="V3" s="16">
        <v>4</v>
      </c>
      <c r="W3" s="16">
        <v>4</v>
      </c>
      <c r="X3" s="16">
        <v>4</v>
      </c>
      <c r="Y3" s="16">
        <v>4</v>
      </c>
      <c r="Z3" s="16">
        <v>5</v>
      </c>
      <c r="AA3" s="16">
        <v>5</v>
      </c>
      <c r="AB3" s="16">
        <v>5</v>
      </c>
      <c r="AC3" s="16">
        <v>5</v>
      </c>
      <c r="AD3" s="16">
        <v>6</v>
      </c>
      <c r="AE3" s="16">
        <v>6</v>
      </c>
      <c r="AF3" s="16">
        <v>6</v>
      </c>
      <c r="AG3" s="16">
        <v>6</v>
      </c>
      <c r="AH3" s="16">
        <v>6</v>
      </c>
      <c r="AI3" s="16">
        <v>7</v>
      </c>
      <c r="AJ3" s="16">
        <v>7</v>
      </c>
      <c r="AK3" s="16">
        <v>7</v>
      </c>
      <c r="AL3" s="16">
        <v>7</v>
      </c>
      <c r="AM3" s="16">
        <v>8</v>
      </c>
      <c r="AN3" s="16">
        <v>8</v>
      </c>
      <c r="AO3" s="16">
        <v>8</v>
      </c>
      <c r="AP3" s="16">
        <v>8</v>
      </c>
      <c r="AQ3" s="16">
        <v>8</v>
      </c>
      <c r="AR3" s="16">
        <v>9</v>
      </c>
      <c r="AS3" s="16">
        <v>9</v>
      </c>
      <c r="AT3" s="16">
        <v>9</v>
      </c>
      <c r="AU3" s="16">
        <v>9</v>
      </c>
      <c r="AV3" s="16">
        <v>10</v>
      </c>
      <c r="AW3" s="16">
        <v>10</v>
      </c>
      <c r="AX3" s="16">
        <v>10</v>
      </c>
      <c r="AY3" s="16">
        <v>10</v>
      </c>
      <c r="AZ3" s="16">
        <v>11</v>
      </c>
      <c r="BA3" s="16">
        <v>11</v>
      </c>
      <c r="BB3" s="16">
        <v>11</v>
      </c>
      <c r="BC3" s="16">
        <v>11</v>
      </c>
      <c r="BD3" s="16">
        <v>11</v>
      </c>
      <c r="BE3" s="16">
        <v>12</v>
      </c>
      <c r="BF3" s="16">
        <v>12</v>
      </c>
      <c r="BG3" s="16">
        <v>12</v>
      </c>
      <c r="BH3" s="16">
        <v>12</v>
      </c>
    </row>
    <row r="4" spans="1:60">
      <c r="I4" s="17">
        <f t="shared" ref="I4:AN4" si="0">DATE(2026, I$3, I6)</f>
        <v>46027</v>
      </c>
      <c r="J4" s="17">
        <f t="shared" si="0"/>
        <v>46034</v>
      </c>
      <c r="K4" s="17">
        <f t="shared" si="0"/>
        <v>46041</v>
      </c>
      <c r="L4" s="17">
        <f t="shared" si="0"/>
        <v>46048</v>
      </c>
      <c r="M4" s="17">
        <f t="shared" si="0"/>
        <v>46055</v>
      </c>
      <c r="N4" s="17">
        <f t="shared" si="0"/>
        <v>46062</v>
      </c>
      <c r="O4" s="17">
        <f t="shared" si="0"/>
        <v>46069</v>
      </c>
      <c r="P4" s="17">
        <f t="shared" si="0"/>
        <v>46076</v>
      </c>
      <c r="Q4" s="17">
        <f t="shared" si="0"/>
        <v>46083</v>
      </c>
      <c r="R4" s="17">
        <f t="shared" si="0"/>
        <v>46090</v>
      </c>
      <c r="S4" s="17">
        <f t="shared" si="0"/>
        <v>46097</v>
      </c>
      <c r="T4" s="17">
        <f t="shared" si="0"/>
        <v>46104</v>
      </c>
      <c r="U4" s="17">
        <f t="shared" si="0"/>
        <v>46111</v>
      </c>
      <c r="V4" s="17">
        <f t="shared" si="0"/>
        <v>46118</v>
      </c>
      <c r="W4" s="17">
        <f t="shared" si="0"/>
        <v>46125</v>
      </c>
      <c r="X4" s="17">
        <f t="shared" si="0"/>
        <v>46132</v>
      </c>
      <c r="Y4" s="17">
        <f t="shared" si="0"/>
        <v>46139</v>
      </c>
      <c r="Z4" s="17">
        <f t="shared" si="0"/>
        <v>46146</v>
      </c>
      <c r="AA4" s="17">
        <f t="shared" si="0"/>
        <v>46153</v>
      </c>
      <c r="AB4" s="17">
        <f t="shared" si="0"/>
        <v>46160</v>
      </c>
      <c r="AC4" s="17">
        <f t="shared" si="0"/>
        <v>46167</v>
      </c>
      <c r="AD4" s="17">
        <f t="shared" si="0"/>
        <v>46174</v>
      </c>
      <c r="AE4" s="17">
        <f t="shared" si="0"/>
        <v>46181</v>
      </c>
      <c r="AF4" s="17">
        <f t="shared" si="0"/>
        <v>46188</v>
      </c>
      <c r="AG4" s="17">
        <f t="shared" si="0"/>
        <v>46195</v>
      </c>
      <c r="AH4" s="17">
        <f t="shared" si="0"/>
        <v>46202</v>
      </c>
      <c r="AI4" s="17">
        <f t="shared" si="0"/>
        <v>46209</v>
      </c>
      <c r="AJ4" s="17">
        <f t="shared" si="0"/>
        <v>46216</v>
      </c>
      <c r="AK4" s="17">
        <f t="shared" si="0"/>
        <v>46223</v>
      </c>
      <c r="AL4" s="17">
        <f t="shared" si="0"/>
        <v>46230</v>
      </c>
      <c r="AM4" s="17">
        <f t="shared" si="0"/>
        <v>46237</v>
      </c>
      <c r="AN4" s="17">
        <f t="shared" si="0"/>
        <v>46244</v>
      </c>
      <c r="AO4" s="17">
        <f t="shared" ref="AO4:BH4" si="1">DATE(2026, AO$3, AO6)</f>
        <v>46251</v>
      </c>
      <c r="AP4" s="17">
        <f t="shared" si="1"/>
        <v>46258</v>
      </c>
      <c r="AQ4" s="17">
        <f t="shared" si="1"/>
        <v>46265</v>
      </c>
      <c r="AR4" s="17">
        <f t="shared" si="1"/>
        <v>46272</v>
      </c>
      <c r="AS4" s="17">
        <f t="shared" si="1"/>
        <v>46279</v>
      </c>
      <c r="AT4" s="17">
        <f t="shared" si="1"/>
        <v>46286</v>
      </c>
      <c r="AU4" s="17">
        <f t="shared" si="1"/>
        <v>46293</v>
      </c>
      <c r="AV4" s="17">
        <f t="shared" si="1"/>
        <v>46300</v>
      </c>
      <c r="AW4" s="17">
        <f t="shared" si="1"/>
        <v>46307</v>
      </c>
      <c r="AX4" s="17">
        <f t="shared" si="1"/>
        <v>46314</v>
      </c>
      <c r="AY4" s="17">
        <f t="shared" si="1"/>
        <v>46321</v>
      </c>
      <c r="AZ4" s="17">
        <f t="shared" si="1"/>
        <v>46328</v>
      </c>
      <c r="BA4" s="17">
        <f t="shared" si="1"/>
        <v>46335</v>
      </c>
      <c r="BB4" s="17">
        <f t="shared" si="1"/>
        <v>46342</v>
      </c>
      <c r="BC4" s="17">
        <f t="shared" si="1"/>
        <v>46349</v>
      </c>
      <c r="BD4" s="17">
        <f t="shared" si="1"/>
        <v>46356</v>
      </c>
      <c r="BE4" s="17">
        <f t="shared" si="1"/>
        <v>46363</v>
      </c>
      <c r="BF4" s="17">
        <f t="shared" si="1"/>
        <v>46370</v>
      </c>
      <c r="BG4" s="17">
        <f t="shared" si="1"/>
        <v>46377</v>
      </c>
      <c r="BH4" s="17">
        <f t="shared" si="1"/>
        <v>46384</v>
      </c>
    </row>
    <row r="5" spans="1:60">
      <c r="I5" s="35" t="s">
        <v>172</v>
      </c>
      <c r="J5" s="371" t="s">
        <v>173</v>
      </c>
      <c r="K5" s="372"/>
      <c r="L5" s="371" t="s">
        <v>174</v>
      </c>
      <c r="M5" s="372"/>
      <c r="N5" s="371" t="s">
        <v>175</v>
      </c>
      <c r="O5" s="372"/>
      <c r="P5" s="371" t="s">
        <v>176</v>
      </c>
      <c r="Q5" s="372"/>
      <c r="R5" s="371" t="s">
        <v>177</v>
      </c>
      <c r="S5" s="372"/>
      <c r="T5" s="371" t="s">
        <v>178</v>
      </c>
      <c r="U5" s="372"/>
      <c r="V5" s="371" t="s">
        <v>179</v>
      </c>
      <c r="W5" s="372"/>
      <c r="X5" s="371" t="s">
        <v>180</v>
      </c>
      <c r="Y5" s="372"/>
      <c r="Z5" s="371" t="s">
        <v>181</v>
      </c>
      <c r="AA5" s="372"/>
      <c r="AB5" s="371" t="s">
        <v>182</v>
      </c>
      <c r="AC5" s="372"/>
      <c r="AD5" s="371" t="s">
        <v>183</v>
      </c>
      <c r="AE5" s="372"/>
      <c r="AF5" s="371" t="s">
        <v>184</v>
      </c>
      <c r="AG5" s="372"/>
      <c r="AH5" s="371" t="s">
        <v>185</v>
      </c>
      <c r="AI5" s="372"/>
      <c r="AJ5" s="371" t="s">
        <v>186</v>
      </c>
      <c r="AK5" s="372"/>
      <c r="AL5" s="371" t="s">
        <v>187</v>
      </c>
      <c r="AM5" s="372"/>
      <c r="AN5" s="371" t="s">
        <v>188</v>
      </c>
      <c r="AO5" s="372"/>
      <c r="AP5" s="371" t="s">
        <v>189</v>
      </c>
      <c r="AQ5" s="372"/>
      <c r="AR5" s="371" t="s">
        <v>190</v>
      </c>
      <c r="AS5" s="372"/>
      <c r="AT5" s="371" t="s">
        <v>191</v>
      </c>
      <c r="AU5" s="372"/>
      <c r="AV5" s="371" t="s">
        <v>192</v>
      </c>
      <c r="AW5" s="372"/>
      <c r="AX5" s="371" t="s">
        <v>193</v>
      </c>
      <c r="AY5" s="372"/>
      <c r="AZ5" s="371" t="s">
        <v>194</v>
      </c>
      <c r="BA5" s="372"/>
      <c r="BB5" s="371" t="s">
        <v>195</v>
      </c>
      <c r="BC5" s="372"/>
      <c r="BD5" s="371" t="s">
        <v>196</v>
      </c>
      <c r="BE5" s="372"/>
      <c r="BF5" s="374" t="s">
        <v>197</v>
      </c>
      <c r="BG5" s="368"/>
      <c r="BH5" s="17"/>
    </row>
    <row r="6" spans="1:60">
      <c r="A6" s="51" t="s">
        <v>153</v>
      </c>
      <c r="B6" s="51" t="s">
        <v>154</v>
      </c>
      <c r="C6" s="52" t="s">
        <v>155</v>
      </c>
      <c r="D6" s="52" t="s">
        <v>156</v>
      </c>
      <c r="E6" s="51" t="s">
        <v>15</v>
      </c>
      <c r="F6" s="51" t="s">
        <v>157</v>
      </c>
      <c r="G6" s="51" t="s">
        <v>158</v>
      </c>
      <c r="H6" s="51" t="s">
        <v>159</v>
      </c>
      <c r="I6" s="38">
        <v>5</v>
      </c>
      <c r="J6" s="18">
        <v>12</v>
      </c>
      <c r="K6" s="18">
        <v>19</v>
      </c>
      <c r="L6" s="18">
        <v>26</v>
      </c>
      <c r="M6" s="18">
        <v>2</v>
      </c>
      <c r="N6" s="18">
        <v>9</v>
      </c>
      <c r="O6" s="18">
        <v>16</v>
      </c>
      <c r="P6" s="18">
        <v>23</v>
      </c>
      <c r="Q6" s="18">
        <v>2</v>
      </c>
      <c r="R6" s="18">
        <v>9</v>
      </c>
      <c r="S6" s="18">
        <v>16</v>
      </c>
      <c r="T6" s="18">
        <v>23</v>
      </c>
      <c r="U6" s="18">
        <v>30</v>
      </c>
      <c r="V6" s="18">
        <v>6</v>
      </c>
      <c r="W6" s="18">
        <v>13</v>
      </c>
      <c r="X6" s="18">
        <v>20</v>
      </c>
      <c r="Y6" s="18">
        <v>27</v>
      </c>
      <c r="Z6" s="19">
        <v>4</v>
      </c>
      <c r="AA6" s="18">
        <v>11</v>
      </c>
      <c r="AB6" s="18">
        <v>18</v>
      </c>
      <c r="AC6" s="18">
        <v>25</v>
      </c>
      <c r="AD6" s="18">
        <v>1</v>
      </c>
      <c r="AE6" s="18">
        <v>8</v>
      </c>
      <c r="AF6" s="18">
        <v>15</v>
      </c>
      <c r="AG6" s="18">
        <v>22</v>
      </c>
      <c r="AH6" s="18">
        <v>29</v>
      </c>
      <c r="AI6" s="18">
        <v>6</v>
      </c>
      <c r="AJ6" s="18">
        <v>13</v>
      </c>
      <c r="AK6" s="18">
        <v>20</v>
      </c>
      <c r="AL6" s="18">
        <v>27</v>
      </c>
      <c r="AM6" s="18">
        <v>3</v>
      </c>
      <c r="AN6" s="18">
        <v>10</v>
      </c>
      <c r="AO6" s="18">
        <v>17</v>
      </c>
      <c r="AP6" s="18">
        <v>24</v>
      </c>
      <c r="AQ6" s="18">
        <v>31</v>
      </c>
      <c r="AR6" s="18">
        <v>7</v>
      </c>
      <c r="AS6" s="18">
        <v>14</v>
      </c>
      <c r="AT6" s="18">
        <v>21</v>
      </c>
      <c r="AU6" s="18">
        <v>28</v>
      </c>
      <c r="AV6" s="18">
        <v>5</v>
      </c>
      <c r="AW6" s="18">
        <v>12</v>
      </c>
      <c r="AX6" s="18">
        <v>19</v>
      </c>
      <c r="AY6" s="18">
        <v>26</v>
      </c>
      <c r="AZ6" s="18">
        <v>2</v>
      </c>
      <c r="BA6" s="18">
        <v>9</v>
      </c>
      <c r="BB6" s="18">
        <v>16</v>
      </c>
      <c r="BC6" s="18">
        <v>23</v>
      </c>
      <c r="BD6" s="18">
        <v>30</v>
      </c>
      <c r="BE6" s="18">
        <v>7</v>
      </c>
      <c r="BF6" s="18">
        <v>14</v>
      </c>
      <c r="BG6" s="18">
        <v>21</v>
      </c>
      <c r="BH6" s="18">
        <v>28</v>
      </c>
    </row>
    <row r="7" spans="1:60">
      <c r="A7" s="43" t="s">
        <v>160</v>
      </c>
      <c r="B7" s="43"/>
      <c r="C7" s="44">
        <v>46027</v>
      </c>
      <c r="D7" s="44">
        <v>46108</v>
      </c>
      <c r="E7" s="43"/>
      <c r="F7" s="43" t="s">
        <v>162</v>
      </c>
      <c r="G7" s="45">
        <f ca="1">AVERAGE(G8, G12)</f>
        <v>1</v>
      </c>
      <c r="H7" s="53">
        <f>AVERAGE(H8, H12)</f>
        <v>1</v>
      </c>
      <c r="I7" s="39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</row>
    <row r="8" spans="1:60">
      <c r="A8" s="46" t="s">
        <v>163</v>
      </c>
      <c r="B8" s="46"/>
      <c r="C8" s="47">
        <v>46027</v>
      </c>
      <c r="D8" s="47">
        <v>46052</v>
      </c>
      <c r="E8" s="46"/>
      <c r="F8" s="46" t="s">
        <v>162</v>
      </c>
      <c r="G8" s="48">
        <f ca="1">AVERAGE(G9:G11)</f>
        <v>1</v>
      </c>
      <c r="H8" s="48">
        <f>AVERAGE(H9:H11)</f>
        <v>1</v>
      </c>
      <c r="I8" s="39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</row>
    <row r="9" spans="1:60" outlineLevel="1">
      <c r="B9" t="s">
        <v>102</v>
      </c>
      <c r="C9" s="10">
        <v>46027</v>
      </c>
      <c r="D9" s="10">
        <v>46039</v>
      </c>
      <c r="E9" t="s">
        <v>103</v>
      </c>
      <c r="G9" s="1">
        <f ca="1">IF(TODAY() &gt; D9, 1, IF(TODAY() &lt; C9, 0, (TODAY() - C9) / (D9 - C9)))</f>
        <v>1</v>
      </c>
      <c r="H9" s="1">
        <v>1</v>
      </c>
      <c r="I9" s="39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</row>
    <row r="10" spans="1:60" outlineLevel="1">
      <c r="B10" t="s">
        <v>164</v>
      </c>
      <c r="C10" s="10">
        <v>46027</v>
      </c>
      <c r="D10" s="10">
        <v>46038</v>
      </c>
      <c r="E10" t="s">
        <v>103</v>
      </c>
      <c r="G10" s="1">
        <f ca="1">IF(TODAY() &gt; D10, 1, IF(TODAY() &lt; C10, 0, (TODAY() - C10) / (D10 - C10)))</f>
        <v>1</v>
      </c>
      <c r="H10" s="1">
        <v>1</v>
      </c>
      <c r="I10" s="39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</row>
    <row r="11" spans="1:60" outlineLevel="1">
      <c r="B11" t="s">
        <v>165</v>
      </c>
      <c r="C11" s="10">
        <v>46041</v>
      </c>
      <c r="D11" s="10">
        <v>46052</v>
      </c>
      <c r="E11" t="s">
        <v>105</v>
      </c>
      <c r="G11" s="1">
        <f ca="1">IF(TODAY() &gt; D11, 1, IF(TODAY() &lt; C11, 0, (TODAY() - C11) / (D11 - C11)))</f>
        <v>1</v>
      </c>
      <c r="H11" s="1">
        <v>1</v>
      </c>
      <c r="I11" s="39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</row>
    <row r="12" spans="1:60">
      <c r="A12" s="46" t="s">
        <v>166</v>
      </c>
      <c r="B12" s="46"/>
      <c r="C12" s="47">
        <v>46055</v>
      </c>
      <c r="D12" s="47">
        <v>46108</v>
      </c>
      <c r="E12" s="46"/>
      <c r="F12" s="46" t="s">
        <v>162</v>
      </c>
      <c r="G12" s="48">
        <f ca="1">AVERAGE(G13:G14)</f>
        <v>1</v>
      </c>
      <c r="H12" s="48">
        <f>AVERAGE(H13:H14)</f>
        <v>1</v>
      </c>
      <c r="I12" s="39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</row>
    <row r="13" spans="1:60" outlineLevel="1">
      <c r="B13" t="s">
        <v>107</v>
      </c>
      <c r="C13" s="10">
        <v>46055</v>
      </c>
      <c r="D13" s="10">
        <v>46066</v>
      </c>
      <c r="E13" t="s">
        <v>108</v>
      </c>
      <c r="G13" s="1">
        <f ca="1">IF(TODAY() &gt; D13, 1, IF(TODAY() &lt; C13, 0, (TODAY() - C13) / (D13 - C13)))</f>
        <v>1</v>
      </c>
      <c r="H13" s="1">
        <v>1</v>
      </c>
      <c r="I13" s="39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</row>
    <row r="14" spans="1:60" outlineLevel="1">
      <c r="B14" t="s">
        <v>109</v>
      </c>
      <c r="C14" s="10">
        <v>46069</v>
      </c>
      <c r="D14" s="10">
        <v>46080</v>
      </c>
      <c r="E14" t="s">
        <v>110</v>
      </c>
      <c r="G14" s="1">
        <f ca="1">IF(TODAY() &gt; D14, 1, IF(TODAY() &lt; C14, 0, (TODAY() - C14) / (D14 - C14)))</f>
        <v>1</v>
      </c>
      <c r="H14" s="1">
        <v>1</v>
      </c>
      <c r="I14" s="39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0">
      <c r="A15" s="43" t="s">
        <v>167</v>
      </c>
      <c r="B15" s="43"/>
      <c r="C15" s="44">
        <v>46118</v>
      </c>
      <c r="D15" s="44">
        <v>46199</v>
      </c>
      <c r="E15" s="43"/>
      <c r="F15" s="43" t="s">
        <v>162</v>
      </c>
      <c r="G15" s="45">
        <f ca="1">AVERAGE(G16)</f>
        <v>1</v>
      </c>
      <c r="H15" s="53">
        <f>AVERAGE(H16)</f>
        <v>0.69666666666666666</v>
      </c>
      <c r="I15" s="40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</row>
    <row r="16" spans="1:60">
      <c r="A16" s="46" t="s">
        <v>169</v>
      </c>
      <c r="B16" s="46"/>
      <c r="C16" s="47">
        <v>46118</v>
      </c>
      <c r="D16" s="47">
        <v>46157</v>
      </c>
      <c r="E16" s="46"/>
      <c r="F16" s="46" t="s">
        <v>162</v>
      </c>
      <c r="G16" s="48">
        <f ca="1">AVERAGE(G17:G19)</f>
        <v>1</v>
      </c>
      <c r="H16" s="48">
        <f>AVERAGE(H17:H19)</f>
        <v>0.69666666666666666</v>
      </c>
      <c r="I16" s="4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</row>
    <row r="17" spans="2:60" outlineLevel="1">
      <c r="B17" t="s">
        <v>117</v>
      </c>
      <c r="C17" s="10">
        <v>46118</v>
      </c>
      <c r="D17" s="10">
        <v>46129</v>
      </c>
      <c r="E17" t="s">
        <v>118</v>
      </c>
      <c r="G17" s="1">
        <f ca="1">IF(TODAY() &gt; D17, 1, IF(TODAY() &lt; C17, 0, (TODAY() - C17) / (D17 - C17)))</f>
        <v>1</v>
      </c>
      <c r="H17" s="1">
        <v>1</v>
      </c>
      <c r="I17" s="42"/>
      <c r="J17" s="37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2:60" outlineLevel="1">
      <c r="B18" t="s">
        <v>170</v>
      </c>
      <c r="C18" s="10">
        <v>46132</v>
      </c>
      <c r="D18" s="10">
        <v>46143</v>
      </c>
      <c r="E18" t="s">
        <v>120</v>
      </c>
      <c r="G18" s="1">
        <f ca="1">IF(TODAY() &gt; D18, 1, IF(TODAY() &lt; C18, 0, (TODAY() - C18) / (D18 - C18)))</f>
        <v>1</v>
      </c>
      <c r="H18" s="1">
        <v>1</v>
      </c>
      <c r="I18" s="39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</row>
    <row r="19" spans="2:60" outlineLevel="1">
      <c r="B19" t="s">
        <v>121</v>
      </c>
      <c r="C19" s="10">
        <v>46146</v>
      </c>
      <c r="D19" s="10">
        <v>46157</v>
      </c>
      <c r="E19" t="s">
        <v>122</v>
      </c>
      <c r="G19" s="1">
        <f ca="1">IF(TODAY() &gt; D19, 1, IF(TODAY() &lt; C19, 0, (TODAY() - C19) / (D19 - C19)))</f>
        <v>1</v>
      </c>
      <c r="H19" s="1">
        <v>0.09</v>
      </c>
      <c r="I19" s="39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</row>
    <row r="20" spans="2:60"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</row>
  </sheetData>
  <mergeCells count="38">
    <mergeCell ref="Z2:AC2"/>
    <mergeCell ref="AV5:AW5"/>
    <mergeCell ref="BF5:BG5"/>
    <mergeCell ref="P5:Q5"/>
    <mergeCell ref="R5:S5"/>
    <mergeCell ref="AX5:AY5"/>
    <mergeCell ref="I1:BH1"/>
    <mergeCell ref="AZ5:BA5"/>
    <mergeCell ref="V2:Y2"/>
    <mergeCell ref="BB5:BC5"/>
    <mergeCell ref="L5:M5"/>
    <mergeCell ref="AT5:AU5"/>
    <mergeCell ref="BD5:BE5"/>
    <mergeCell ref="N5:O5"/>
    <mergeCell ref="I2:L2"/>
    <mergeCell ref="X5:Y5"/>
    <mergeCell ref="AD2:AH2"/>
    <mergeCell ref="Z5:AA5"/>
    <mergeCell ref="AF5:AG5"/>
    <mergeCell ref="M2:P2"/>
    <mergeCell ref="AR5:AS5"/>
    <mergeCell ref="AV2:AY2"/>
    <mergeCell ref="J5:K5"/>
    <mergeCell ref="AM2:AQ2"/>
    <mergeCell ref="T5:U5"/>
    <mergeCell ref="BE2:BH2"/>
    <mergeCell ref="V5:W5"/>
    <mergeCell ref="AB5:AC5"/>
    <mergeCell ref="AD5:AE5"/>
    <mergeCell ref="AR2:AU2"/>
    <mergeCell ref="AH5:AI5"/>
    <mergeCell ref="AN5:AO5"/>
    <mergeCell ref="AI2:AL2"/>
    <mergeCell ref="AP5:AQ5"/>
    <mergeCell ref="AJ5:AK5"/>
    <mergeCell ref="AL5:AM5"/>
    <mergeCell ref="Q2:U2"/>
    <mergeCell ref="AZ2:BD2"/>
  </mergeCells>
  <conditionalFormatting sqref="I7:BH7">
    <cfRule type="expression" dxfId="17" priority="3" stopIfTrue="1">
      <formula>AND(I$4&gt;=$D6, I$4&lt;=$E6)</formula>
    </cfRule>
  </conditionalFormatting>
  <conditionalFormatting sqref="I7:BH19">
    <cfRule type="expression" dxfId="16" priority="1">
      <formula>AND(I$4&gt;=$C7, I$4&lt;=$C7+(($D7-$C7)*$H7))</formula>
    </cfRule>
    <cfRule type="expression" dxfId="15" priority="2">
      <formula>AND(I$4&gt;=$C7, I$4&lt;=$D7)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32"/>
  <sheetViews>
    <sheetView zoomScaleNormal="100" workbookViewId="0">
      <selection activeCell="K33" sqref="K33"/>
    </sheetView>
  </sheetViews>
  <sheetFormatPr defaultRowHeight="14.5" outlineLevelRow="1"/>
  <cols>
    <col min="1" max="1" width="31.453125" bestFit="1" customWidth="1"/>
    <col min="2" max="2" width="33.54296875" customWidth="1"/>
    <col min="3" max="4" width="15" style="10" customWidth="1"/>
    <col min="5" max="5" width="9.1796875" bestFit="1" customWidth="1"/>
    <col min="6" max="6" width="8.26953125" bestFit="1" customWidth="1"/>
    <col min="7" max="7" width="7.54296875" customWidth="1"/>
    <col min="8" max="8" width="8" bestFit="1" customWidth="1"/>
    <col min="9" max="60" width="10.1796875" customWidth="1"/>
  </cols>
  <sheetData>
    <row r="1" spans="1:60">
      <c r="A1" s="12" t="s">
        <v>151</v>
      </c>
      <c r="B1" s="13">
        <f>AVERAGEIF(A7:A19, "MVP*", H7:H19)</f>
        <v>0.85000000000000009</v>
      </c>
      <c r="D1" s="10" t="s">
        <v>171</v>
      </c>
      <c r="E1" s="36">
        <v>46027</v>
      </c>
      <c r="I1" s="378" t="s">
        <v>77</v>
      </c>
      <c r="J1" s="376"/>
      <c r="K1" s="376"/>
      <c r="L1" s="376"/>
      <c r="M1" s="376"/>
      <c r="N1" s="376"/>
      <c r="O1" s="376"/>
      <c r="P1" s="376"/>
      <c r="Q1" s="376"/>
      <c r="R1" s="376"/>
      <c r="S1" s="376"/>
      <c r="T1" s="376"/>
      <c r="U1" s="376"/>
      <c r="V1" s="376"/>
      <c r="W1" s="376"/>
      <c r="X1" s="376"/>
      <c r="Y1" s="376"/>
      <c r="Z1" s="376"/>
      <c r="AA1" s="376"/>
      <c r="AB1" s="376"/>
      <c r="AC1" s="376"/>
      <c r="AD1" s="376"/>
      <c r="AE1" s="376"/>
      <c r="AF1" s="376"/>
      <c r="AG1" s="376"/>
      <c r="AH1" s="376"/>
      <c r="AI1" s="376"/>
      <c r="AJ1" s="376"/>
      <c r="AK1" s="376"/>
      <c r="AL1" s="376"/>
      <c r="AM1" s="376"/>
      <c r="AN1" s="376"/>
      <c r="AO1" s="376"/>
      <c r="AP1" s="376"/>
      <c r="AQ1" s="376"/>
      <c r="AR1" s="376"/>
      <c r="AS1" s="376"/>
      <c r="AT1" s="376"/>
      <c r="AU1" s="376"/>
      <c r="AV1" s="376"/>
      <c r="AW1" s="376"/>
      <c r="AX1" s="376"/>
      <c r="AY1" s="376"/>
      <c r="AZ1" s="376"/>
      <c r="BA1" s="376"/>
      <c r="BB1" s="376"/>
      <c r="BC1" s="376"/>
      <c r="BD1" s="376"/>
      <c r="BE1" s="376"/>
      <c r="BF1" s="376"/>
      <c r="BG1" s="376"/>
      <c r="BH1" s="376"/>
    </row>
    <row r="2" spans="1:60">
      <c r="A2" s="12" t="s">
        <v>152</v>
      </c>
      <c r="B2" s="13">
        <f ca="1">AVERAGEIF(A7:A19, "MVP*", G7:G19)</f>
        <v>1</v>
      </c>
      <c r="I2" s="377" t="s">
        <v>79</v>
      </c>
      <c r="J2" s="376"/>
      <c r="K2" s="376"/>
      <c r="L2" s="376"/>
      <c r="M2" s="377" t="s">
        <v>80</v>
      </c>
      <c r="N2" s="376"/>
      <c r="O2" s="376"/>
      <c r="P2" s="376"/>
      <c r="Q2" s="377" t="s">
        <v>81</v>
      </c>
      <c r="R2" s="376"/>
      <c r="S2" s="376"/>
      <c r="T2" s="376"/>
      <c r="U2" s="376"/>
      <c r="V2" s="377" t="s">
        <v>82</v>
      </c>
      <c r="W2" s="376"/>
      <c r="X2" s="376"/>
      <c r="Y2" s="376"/>
      <c r="Z2" s="377" t="s">
        <v>83</v>
      </c>
      <c r="AA2" s="376"/>
      <c r="AB2" s="376"/>
      <c r="AC2" s="376"/>
      <c r="AD2" s="377" t="s">
        <v>84</v>
      </c>
      <c r="AE2" s="376"/>
      <c r="AF2" s="376"/>
      <c r="AG2" s="376"/>
      <c r="AH2" s="376"/>
      <c r="AI2" s="377" t="s">
        <v>85</v>
      </c>
      <c r="AJ2" s="376"/>
      <c r="AK2" s="376"/>
      <c r="AL2" s="376"/>
      <c r="AM2" s="377" t="s">
        <v>86</v>
      </c>
      <c r="AN2" s="376"/>
      <c r="AO2" s="376"/>
      <c r="AP2" s="376"/>
      <c r="AQ2" s="376"/>
      <c r="AR2" s="377" t="s">
        <v>87</v>
      </c>
      <c r="AS2" s="376"/>
      <c r="AT2" s="376"/>
      <c r="AU2" s="376"/>
      <c r="AV2" s="377" t="s">
        <v>88</v>
      </c>
      <c r="AW2" s="376"/>
      <c r="AX2" s="376"/>
      <c r="AY2" s="376"/>
      <c r="AZ2" s="377" t="s">
        <v>89</v>
      </c>
      <c r="BA2" s="376"/>
      <c r="BB2" s="376"/>
      <c r="BC2" s="376"/>
      <c r="BD2" s="376"/>
      <c r="BE2" s="377" t="s">
        <v>90</v>
      </c>
      <c r="BF2" s="376"/>
      <c r="BG2" s="376"/>
      <c r="BH2" s="376"/>
    </row>
    <row r="3" spans="1:60" ht="16.5" hidden="1" customHeight="1">
      <c r="I3" s="54">
        <v>1</v>
      </c>
      <c r="J3" s="54">
        <v>1</v>
      </c>
      <c r="K3" s="54">
        <v>1</v>
      </c>
      <c r="L3" s="54">
        <v>1</v>
      </c>
      <c r="M3" s="54">
        <v>2</v>
      </c>
      <c r="N3" s="54">
        <v>2</v>
      </c>
      <c r="O3" s="54">
        <v>2</v>
      </c>
      <c r="P3" s="54">
        <v>2</v>
      </c>
      <c r="Q3" s="54">
        <v>3</v>
      </c>
      <c r="R3" s="54">
        <v>3</v>
      </c>
      <c r="S3" s="54">
        <v>3</v>
      </c>
      <c r="T3" s="54">
        <v>3</v>
      </c>
      <c r="U3" s="54">
        <v>3</v>
      </c>
      <c r="V3" s="54">
        <v>4</v>
      </c>
      <c r="W3" s="54">
        <v>4</v>
      </c>
      <c r="X3" s="54">
        <v>4</v>
      </c>
      <c r="Y3" s="54">
        <v>4</v>
      </c>
      <c r="Z3" s="54">
        <v>5</v>
      </c>
      <c r="AA3" s="54">
        <v>5</v>
      </c>
      <c r="AB3" s="54">
        <v>5</v>
      </c>
      <c r="AC3" s="54">
        <v>5</v>
      </c>
      <c r="AD3" s="54">
        <v>6</v>
      </c>
      <c r="AE3" s="54">
        <v>6</v>
      </c>
      <c r="AF3" s="54">
        <v>6</v>
      </c>
      <c r="AG3" s="54">
        <v>6</v>
      </c>
      <c r="AH3" s="54">
        <v>6</v>
      </c>
      <c r="AI3" s="54">
        <v>7</v>
      </c>
      <c r="AJ3" s="54">
        <v>7</v>
      </c>
      <c r="AK3" s="54">
        <v>7</v>
      </c>
      <c r="AL3" s="54">
        <v>7</v>
      </c>
      <c r="AM3" s="54">
        <v>8</v>
      </c>
      <c r="AN3" s="54">
        <v>8</v>
      </c>
      <c r="AO3" s="54">
        <v>8</v>
      </c>
      <c r="AP3" s="54">
        <v>8</v>
      </c>
      <c r="AQ3" s="54">
        <v>8</v>
      </c>
      <c r="AR3" s="54">
        <v>9</v>
      </c>
      <c r="AS3" s="54">
        <v>9</v>
      </c>
      <c r="AT3" s="54">
        <v>9</v>
      </c>
      <c r="AU3" s="54">
        <v>9</v>
      </c>
      <c r="AV3" s="54">
        <v>10</v>
      </c>
      <c r="AW3" s="54">
        <v>10</v>
      </c>
      <c r="AX3" s="54">
        <v>10</v>
      </c>
      <c r="AY3" s="54">
        <v>10</v>
      </c>
      <c r="AZ3" s="54">
        <v>11</v>
      </c>
      <c r="BA3" s="54">
        <v>11</v>
      </c>
      <c r="BB3" s="54">
        <v>11</v>
      </c>
      <c r="BC3" s="54">
        <v>11</v>
      </c>
      <c r="BD3" s="54">
        <v>11</v>
      </c>
      <c r="BE3" s="54">
        <v>12</v>
      </c>
      <c r="BF3" s="54">
        <v>12</v>
      </c>
      <c r="BG3" s="54">
        <v>12</v>
      </c>
      <c r="BH3" s="54">
        <v>12</v>
      </c>
    </row>
    <row r="4" spans="1:60">
      <c r="I4" s="55">
        <f t="shared" ref="I4:AN4" si="0">DATE(2026, I$3, I6)</f>
        <v>46027</v>
      </c>
      <c r="J4" s="55">
        <f t="shared" si="0"/>
        <v>46034</v>
      </c>
      <c r="K4" s="55">
        <f t="shared" si="0"/>
        <v>46041</v>
      </c>
      <c r="L4" s="55">
        <f t="shared" si="0"/>
        <v>46048</v>
      </c>
      <c r="M4" s="55">
        <f t="shared" si="0"/>
        <v>46055</v>
      </c>
      <c r="N4" s="55">
        <f t="shared" si="0"/>
        <v>46062</v>
      </c>
      <c r="O4" s="55">
        <f t="shared" si="0"/>
        <v>46069</v>
      </c>
      <c r="P4" s="55">
        <f t="shared" si="0"/>
        <v>46076</v>
      </c>
      <c r="Q4" s="55">
        <f t="shared" si="0"/>
        <v>46083</v>
      </c>
      <c r="R4" s="55">
        <f t="shared" si="0"/>
        <v>46090</v>
      </c>
      <c r="S4" s="55">
        <f t="shared" si="0"/>
        <v>46097</v>
      </c>
      <c r="T4" s="55">
        <f t="shared" si="0"/>
        <v>46104</v>
      </c>
      <c r="U4" s="55">
        <f t="shared" si="0"/>
        <v>46111</v>
      </c>
      <c r="V4" s="55">
        <f t="shared" si="0"/>
        <v>46118</v>
      </c>
      <c r="W4" s="55">
        <f t="shared" si="0"/>
        <v>46125</v>
      </c>
      <c r="X4" s="55">
        <f t="shared" si="0"/>
        <v>46132</v>
      </c>
      <c r="Y4" s="55">
        <f t="shared" si="0"/>
        <v>46139</v>
      </c>
      <c r="Z4" s="55">
        <f t="shared" si="0"/>
        <v>46146</v>
      </c>
      <c r="AA4" s="55">
        <f t="shared" si="0"/>
        <v>46153</v>
      </c>
      <c r="AB4" s="55">
        <f t="shared" si="0"/>
        <v>46160</v>
      </c>
      <c r="AC4" s="55">
        <f t="shared" si="0"/>
        <v>46167</v>
      </c>
      <c r="AD4" s="55">
        <f t="shared" si="0"/>
        <v>46174</v>
      </c>
      <c r="AE4" s="55">
        <f t="shared" si="0"/>
        <v>46181</v>
      </c>
      <c r="AF4" s="55">
        <f t="shared" si="0"/>
        <v>46188</v>
      </c>
      <c r="AG4" s="55">
        <f t="shared" si="0"/>
        <v>46195</v>
      </c>
      <c r="AH4" s="55">
        <f t="shared" si="0"/>
        <v>46202</v>
      </c>
      <c r="AI4" s="55">
        <f t="shared" si="0"/>
        <v>46209</v>
      </c>
      <c r="AJ4" s="55">
        <f t="shared" si="0"/>
        <v>46216</v>
      </c>
      <c r="AK4" s="55">
        <f t="shared" si="0"/>
        <v>46223</v>
      </c>
      <c r="AL4" s="55">
        <f t="shared" si="0"/>
        <v>46230</v>
      </c>
      <c r="AM4" s="55">
        <f t="shared" si="0"/>
        <v>46237</v>
      </c>
      <c r="AN4" s="55">
        <f t="shared" si="0"/>
        <v>46244</v>
      </c>
      <c r="AO4" s="55">
        <f t="shared" ref="AO4:BH4" si="1">DATE(2026, AO$3, AO6)</f>
        <v>46251</v>
      </c>
      <c r="AP4" s="55">
        <f t="shared" si="1"/>
        <v>46258</v>
      </c>
      <c r="AQ4" s="55">
        <f t="shared" si="1"/>
        <v>46265</v>
      </c>
      <c r="AR4" s="55">
        <f t="shared" si="1"/>
        <v>46272</v>
      </c>
      <c r="AS4" s="55">
        <f t="shared" si="1"/>
        <v>46279</v>
      </c>
      <c r="AT4" s="55">
        <f t="shared" si="1"/>
        <v>46286</v>
      </c>
      <c r="AU4" s="55">
        <f t="shared" si="1"/>
        <v>46293</v>
      </c>
      <c r="AV4" s="55">
        <f t="shared" si="1"/>
        <v>46300</v>
      </c>
      <c r="AW4" s="55">
        <f t="shared" si="1"/>
        <v>46307</v>
      </c>
      <c r="AX4" s="55">
        <f t="shared" si="1"/>
        <v>46314</v>
      </c>
      <c r="AY4" s="55">
        <f t="shared" si="1"/>
        <v>46321</v>
      </c>
      <c r="AZ4" s="55">
        <f t="shared" si="1"/>
        <v>46328</v>
      </c>
      <c r="BA4" s="55">
        <f t="shared" si="1"/>
        <v>46335</v>
      </c>
      <c r="BB4" s="55">
        <f t="shared" si="1"/>
        <v>46342</v>
      </c>
      <c r="BC4" s="55">
        <f t="shared" si="1"/>
        <v>46349</v>
      </c>
      <c r="BD4" s="55">
        <f t="shared" si="1"/>
        <v>46356</v>
      </c>
      <c r="BE4" s="55">
        <f t="shared" si="1"/>
        <v>46363</v>
      </c>
      <c r="BF4" s="55">
        <f t="shared" si="1"/>
        <v>46370</v>
      </c>
      <c r="BG4" s="55">
        <f t="shared" si="1"/>
        <v>46377</v>
      </c>
      <c r="BH4" s="55">
        <f t="shared" si="1"/>
        <v>46384</v>
      </c>
    </row>
    <row r="5" spans="1:60">
      <c r="I5" s="56" t="s">
        <v>172</v>
      </c>
      <c r="J5" s="375" t="s">
        <v>173</v>
      </c>
      <c r="K5" s="376"/>
      <c r="L5" s="375" t="s">
        <v>174</v>
      </c>
      <c r="M5" s="376"/>
      <c r="N5" s="375" t="s">
        <v>175</v>
      </c>
      <c r="O5" s="376"/>
      <c r="P5" s="375" t="s">
        <v>176</v>
      </c>
      <c r="Q5" s="376"/>
      <c r="R5" s="375" t="s">
        <v>177</v>
      </c>
      <c r="S5" s="376"/>
      <c r="T5" s="375" t="s">
        <v>178</v>
      </c>
      <c r="U5" s="376"/>
      <c r="V5" s="375" t="s">
        <v>179</v>
      </c>
      <c r="W5" s="376"/>
      <c r="X5" s="375" t="s">
        <v>180</v>
      </c>
      <c r="Y5" s="376"/>
      <c r="Z5" s="375" t="s">
        <v>181</v>
      </c>
      <c r="AA5" s="376"/>
      <c r="AB5" s="375" t="s">
        <v>182</v>
      </c>
      <c r="AC5" s="376"/>
      <c r="AD5" s="375" t="s">
        <v>183</v>
      </c>
      <c r="AE5" s="376"/>
      <c r="AF5" s="375" t="s">
        <v>184</v>
      </c>
      <c r="AG5" s="376"/>
      <c r="AH5" s="375" t="s">
        <v>185</v>
      </c>
      <c r="AI5" s="376"/>
      <c r="AJ5" s="375" t="s">
        <v>186</v>
      </c>
      <c r="AK5" s="376"/>
      <c r="AL5" s="375" t="s">
        <v>187</v>
      </c>
      <c r="AM5" s="376"/>
      <c r="AN5" s="375" t="s">
        <v>188</v>
      </c>
      <c r="AO5" s="376"/>
      <c r="AP5" s="375" t="s">
        <v>189</v>
      </c>
      <c r="AQ5" s="376"/>
      <c r="AR5" s="375" t="s">
        <v>190</v>
      </c>
      <c r="AS5" s="376"/>
      <c r="AT5" s="375" t="s">
        <v>191</v>
      </c>
      <c r="AU5" s="376"/>
      <c r="AV5" s="375" t="s">
        <v>192</v>
      </c>
      <c r="AW5" s="376"/>
      <c r="AX5" s="375" t="s">
        <v>193</v>
      </c>
      <c r="AY5" s="376"/>
      <c r="AZ5" s="375" t="s">
        <v>194</v>
      </c>
      <c r="BA5" s="376"/>
      <c r="BB5" s="375" t="s">
        <v>195</v>
      </c>
      <c r="BC5" s="376"/>
      <c r="BD5" s="375" t="s">
        <v>196</v>
      </c>
      <c r="BE5" s="376"/>
      <c r="BF5" s="375" t="s">
        <v>197</v>
      </c>
      <c r="BG5" s="376"/>
      <c r="BH5" s="55"/>
    </row>
    <row r="6" spans="1:60">
      <c r="A6" s="51" t="s">
        <v>153</v>
      </c>
      <c r="B6" s="51" t="s">
        <v>154</v>
      </c>
      <c r="C6" s="52" t="s">
        <v>155</v>
      </c>
      <c r="D6" s="52" t="s">
        <v>156</v>
      </c>
      <c r="E6" s="51" t="s">
        <v>15</v>
      </c>
      <c r="F6" s="51" t="s">
        <v>157</v>
      </c>
      <c r="G6" s="51" t="s">
        <v>158</v>
      </c>
      <c r="H6" s="51" t="s">
        <v>159</v>
      </c>
      <c r="I6" s="64">
        <v>5</v>
      </c>
      <c r="J6" s="64">
        <v>12</v>
      </c>
      <c r="K6" s="64">
        <v>19</v>
      </c>
      <c r="L6" s="64">
        <v>26</v>
      </c>
      <c r="M6" s="64">
        <v>2</v>
      </c>
      <c r="N6" s="64">
        <v>9</v>
      </c>
      <c r="O6" s="64">
        <v>16</v>
      </c>
      <c r="P6" s="64">
        <v>23</v>
      </c>
      <c r="Q6" s="64">
        <v>2</v>
      </c>
      <c r="R6" s="64">
        <v>9</v>
      </c>
      <c r="S6" s="64">
        <v>16</v>
      </c>
      <c r="T6" s="64">
        <v>23</v>
      </c>
      <c r="U6" s="64">
        <v>30</v>
      </c>
      <c r="V6" s="64">
        <v>6</v>
      </c>
      <c r="W6" s="64">
        <v>13</v>
      </c>
      <c r="X6" s="64">
        <v>20</v>
      </c>
      <c r="Y6" s="64">
        <v>27</v>
      </c>
      <c r="Z6" s="65">
        <v>4</v>
      </c>
      <c r="AA6" s="64">
        <v>11</v>
      </c>
      <c r="AB6" s="64">
        <v>18</v>
      </c>
      <c r="AC6" s="64">
        <v>25</v>
      </c>
      <c r="AD6" s="64">
        <v>1</v>
      </c>
      <c r="AE6" s="64">
        <v>8</v>
      </c>
      <c r="AF6" s="64">
        <v>15</v>
      </c>
      <c r="AG6" s="64">
        <v>22</v>
      </c>
      <c r="AH6" s="64">
        <v>29</v>
      </c>
      <c r="AI6" s="64">
        <v>6</v>
      </c>
      <c r="AJ6" s="64">
        <v>13</v>
      </c>
      <c r="AK6" s="64">
        <v>20</v>
      </c>
      <c r="AL6" s="64">
        <v>27</v>
      </c>
      <c r="AM6" s="64">
        <v>3</v>
      </c>
      <c r="AN6" s="64">
        <v>10</v>
      </c>
      <c r="AO6" s="64">
        <v>17</v>
      </c>
      <c r="AP6" s="64">
        <v>24</v>
      </c>
      <c r="AQ6" s="64">
        <v>31</v>
      </c>
      <c r="AR6" s="64">
        <v>7</v>
      </c>
      <c r="AS6" s="64">
        <v>14</v>
      </c>
      <c r="AT6" s="64">
        <v>21</v>
      </c>
      <c r="AU6" s="64">
        <v>28</v>
      </c>
      <c r="AV6" s="64">
        <v>5</v>
      </c>
      <c r="AW6" s="64">
        <v>12</v>
      </c>
      <c r="AX6" s="64">
        <v>19</v>
      </c>
      <c r="AY6" s="64">
        <v>26</v>
      </c>
      <c r="AZ6" s="64">
        <v>2</v>
      </c>
      <c r="BA6" s="64">
        <v>9</v>
      </c>
      <c r="BB6" s="64">
        <v>16</v>
      </c>
      <c r="BC6" s="64">
        <v>23</v>
      </c>
      <c r="BD6" s="64">
        <v>30</v>
      </c>
      <c r="BE6" s="64">
        <v>7</v>
      </c>
      <c r="BF6" s="64">
        <v>14</v>
      </c>
      <c r="BG6" s="64">
        <v>21</v>
      </c>
      <c r="BH6" s="64">
        <v>28</v>
      </c>
    </row>
    <row r="7" spans="1:60">
      <c r="A7" s="57" t="s">
        <v>160</v>
      </c>
      <c r="B7" s="57"/>
      <c r="C7" s="58">
        <v>46027</v>
      </c>
      <c r="D7" s="58">
        <v>46108</v>
      </c>
      <c r="E7" s="57"/>
      <c r="F7" s="57" t="s">
        <v>198</v>
      </c>
      <c r="G7" s="59">
        <f ca="1">AVERAGE(G8, G12)</f>
        <v>1</v>
      </c>
      <c r="H7" s="60">
        <f>AVERAGE(H8, H12)</f>
        <v>1</v>
      </c>
    </row>
    <row r="8" spans="1:60">
      <c r="A8" s="61" t="s">
        <v>163</v>
      </c>
      <c r="B8" s="61"/>
      <c r="C8" s="62">
        <v>46027</v>
      </c>
      <c r="D8" s="62">
        <v>46052</v>
      </c>
      <c r="E8" s="61"/>
      <c r="F8" s="61"/>
      <c r="G8" s="63">
        <f ca="1">AVERAGE(G9:G11)</f>
        <v>1</v>
      </c>
      <c r="H8" s="63">
        <f>AVERAGE(H9:H11)</f>
        <v>1</v>
      </c>
    </row>
    <row r="9" spans="1:60" outlineLevel="1">
      <c r="B9" t="s">
        <v>102</v>
      </c>
      <c r="C9" s="10">
        <v>46027</v>
      </c>
      <c r="D9" s="10">
        <v>46039</v>
      </c>
      <c r="E9" t="s">
        <v>103</v>
      </c>
      <c r="G9" s="1">
        <f ca="1">IF(TODAY() &gt; D9, 1, IF(TODAY() &lt; C9, 0, (TODAY() - C9) / (D9 - C9)))</f>
        <v>1</v>
      </c>
      <c r="H9" s="1">
        <v>1</v>
      </c>
    </row>
    <row r="10" spans="1:60" outlineLevel="1">
      <c r="B10" t="s">
        <v>164</v>
      </c>
      <c r="C10" s="10">
        <v>46027</v>
      </c>
      <c r="D10" s="10">
        <v>46038</v>
      </c>
      <c r="E10" t="s">
        <v>103</v>
      </c>
      <c r="G10" s="1">
        <f ca="1">IF(TODAY() &gt; D10, 1, IF(TODAY() &lt; C10, 0, (TODAY() - C10) / (D10 - C10)))</f>
        <v>1</v>
      </c>
      <c r="H10" s="1">
        <v>1</v>
      </c>
    </row>
    <row r="11" spans="1:60" outlineLevel="1">
      <c r="B11" t="s">
        <v>165</v>
      </c>
      <c r="C11" s="10">
        <v>46041</v>
      </c>
      <c r="D11" s="10">
        <v>46052</v>
      </c>
      <c r="E11" t="s">
        <v>105</v>
      </c>
      <c r="G11" s="1">
        <f ca="1">IF(TODAY() &gt; D11, 1, IF(TODAY() &lt; C11, 0, (TODAY() - C11) / (D11 - C11)))</f>
        <v>1</v>
      </c>
      <c r="H11" s="1">
        <v>1</v>
      </c>
    </row>
    <row r="12" spans="1:60">
      <c r="A12" s="61" t="s">
        <v>166</v>
      </c>
      <c r="B12" s="61"/>
      <c r="C12" s="62">
        <v>46055</v>
      </c>
      <c r="D12" s="62">
        <v>46108</v>
      </c>
      <c r="E12" s="61"/>
      <c r="F12" s="61"/>
      <c r="G12" s="63">
        <f ca="1">AVERAGE(G13:G14)</f>
        <v>1</v>
      </c>
      <c r="H12" s="63">
        <f>AVERAGE(H13:H14)</f>
        <v>1</v>
      </c>
    </row>
    <row r="13" spans="1:60" outlineLevel="1">
      <c r="B13" t="s">
        <v>107</v>
      </c>
      <c r="C13" s="10">
        <v>46055</v>
      </c>
      <c r="D13" s="10">
        <v>46066</v>
      </c>
      <c r="E13" t="s">
        <v>108</v>
      </c>
      <c r="G13" s="1">
        <f ca="1">IF(TODAY() &gt; D13, 1, IF(TODAY() &lt; C13, 0, (TODAY() - C13) / (D13 - C13)))</f>
        <v>1</v>
      </c>
      <c r="H13" s="1">
        <v>1</v>
      </c>
    </row>
    <row r="14" spans="1:60" outlineLevel="1">
      <c r="B14" t="s">
        <v>109</v>
      </c>
      <c r="C14" s="10">
        <v>46069</v>
      </c>
      <c r="D14" s="10">
        <v>46080</v>
      </c>
      <c r="E14" t="s">
        <v>110</v>
      </c>
      <c r="G14" s="1">
        <f ca="1">IF(TODAY() &gt; D14, 1, IF(TODAY() &lt; C14, 0, (TODAY() - C14) / (D14 - C14)))</f>
        <v>1</v>
      </c>
      <c r="H14" s="1">
        <v>1</v>
      </c>
    </row>
    <row r="15" spans="1:60">
      <c r="A15" s="57" t="s">
        <v>167</v>
      </c>
      <c r="B15" s="57"/>
      <c r="C15" s="58">
        <v>46118</v>
      </c>
      <c r="D15" s="58">
        <v>46199</v>
      </c>
      <c r="E15" s="57"/>
      <c r="F15" s="57"/>
      <c r="G15" s="59">
        <f ca="1">AVERAGE(G16)</f>
        <v>1</v>
      </c>
      <c r="H15" s="60">
        <f>AVERAGE(H16)</f>
        <v>0.70000000000000007</v>
      </c>
    </row>
    <row r="16" spans="1:60">
      <c r="A16" s="61" t="s">
        <v>169</v>
      </c>
      <c r="B16" s="61"/>
      <c r="C16" s="62">
        <v>46118</v>
      </c>
      <c r="D16" s="62">
        <v>46157</v>
      </c>
      <c r="E16" s="61"/>
      <c r="F16" s="61"/>
      <c r="G16" s="63">
        <f ca="1">AVERAGE(G17:G19)</f>
        <v>1</v>
      </c>
      <c r="H16" s="63">
        <f>AVERAGE(H17:H19)</f>
        <v>0.70000000000000007</v>
      </c>
    </row>
    <row r="17" spans="1:8" outlineLevel="1">
      <c r="B17" s="50" t="s">
        <v>199</v>
      </c>
      <c r="C17" s="10">
        <v>46118</v>
      </c>
      <c r="D17" s="10">
        <v>46129</v>
      </c>
      <c r="E17" t="s">
        <v>118</v>
      </c>
      <c r="G17" s="1">
        <f ca="1">IF(TODAY() &gt; D17, 1, IF(TODAY() &lt; C17, 0, (TODAY() - C17) / (D17 - C17)))</f>
        <v>1</v>
      </c>
      <c r="H17" s="1">
        <v>1</v>
      </c>
    </row>
    <row r="18" spans="1:8" outlineLevel="1">
      <c r="B18" s="50" t="s">
        <v>200</v>
      </c>
      <c r="C18" s="10">
        <v>46132</v>
      </c>
      <c r="D18" s="10">
        <v>46143</v>
      </c>
      <c r="E18" t="s">
        <v>120</v>
      </c>
      <c r="G18" s="1">
        <f ca="1">IF(TODAY() &gt; D18, 1, IF(TODAY() &lt; C18, 0, (TODAY() - C18) / (D18 - C18)))</f>
        <v>1</v>
      </c>
      <c r="H18" s="1">
        <v>1</v>
      </c>
    </row>
    <row r="19" spans="1:8" outlineLevel="1">
      <c r="B19" s="50" t="s">
        <v>201</v>
      </c>
      <c r="C19" s="10">
        <v>46146</v>
      </c>
      <c r="D19" s="10">
        <v>46157</v>
      </c>
      <c r="E19" t="s">
        <v>122</v>
      </c>
      <c r="G19" s="1">
        <f ca="1">IF(TODAY() &gt; D19, 1, IF(TODAY() &lt; C19, 0, (TODAY() - C19) / (D19 - C19)))</f>
        <v>1</v>
      </c>
      <c r="H19" s="1">
        <v>0.1</v>
      </c>
    </row>
    <row r="20" spans="1:8" hidden="1">
      <c r="A20" s="61" t="s">
        <v>202</v>
      </c>
      <c r="B20" s="61"/>
      <c r="C20" s="62">
        <v>46118</v>
      </c>
      <c r="D20" s="62">
        <v>46157</v>
      </c>
      <c r="E20" s="61"/>
      <c r="F20" s="61"/>
      <c r="G20" s="63"/>
      <c r="H20" s="63"/>
    </row>
    <row r="21" spans="1:8" hidden="1">
      <c r="B21" s="50" t="s">
        <v>199</v>
      </c>
      <c r="C21" s="10">
        <v>46132</v>
      </c>
      <c r="D21" s="10">
        <v>46143</v>
      </c>
      <c r="E21" t="s">
        <v>103</v>
      </c>
      <c r="G21" s="1">
        <f ca="1">IF(TODAY() &gt; D21, 1, IF(TODAY() &lt; C21, 0, (TODAY() - C21) / (D21 - C21)))</f>
        <v>1</v>
      </c>
      <c r="H21" s="1">
        <v>1</v>
      </c>
    </row>
    <row r="22" spans="1:8" hidden="1">
      <c r="B22" s="50" t="s">
        <v>200</v>
      </c>
      <c r="C22" s="10">
        <v>46146</v>
      </c>
      <c r="D22" s="10">
        <v>46157</v>
      </c>
      <c r="E22" t="s">
        <v>103</v>
      </c>
      <c r="G22" s="1">
        <f ca="1">IF(TODAY() &gt; D22, 1, IF(TODAY() &lt; C22, 0, (TODAY() - C22) / (D22 - C22)))</f>
        <v>1</v>
      </c>
      <c r="H22" s="1">
        <v>1</v>
      </c>
    </row>
    <row r="23" spans="1:8" hidden="1">
      <c r="B23" s="50" t="s">
        <v>201</v>
      </c>
      <c r="C23" s="10">
        <v>46132</v>
      </c>
      <c r="D23" s="10">
        <v>46143</v>
      </c>
      <c r="E23" t="s">
        <v>105</v>
      </c>
      <c r="G23" s="1">
        <f ca="1">IF(TODAY() &gt; D23, 1, IF(TODAY() &lt; C23, 0, (TODAY() - C23) / (D23 - C23)))</f>
        <v>1</v>
      </c>
      <c r="H23" s="1">
        <v>0</v>
      </c>
    </row>
    <row r="24" spans="1:8">
      <c r="B24" s="50" t="s">
        <v>201</v>
      </c>
      <c r="C24" s="10">
        <v>46176</v>
      </c>
      <c r="D24" s="10">
        <v>46203</v>
      </c>
      <c r="E24" t="s">
        <v>122</v>
      </c>
      <c r="G24" s="1">
        <f ca="1">IF(TODAY() &gt; D24, 1, IF(TODAY() &lt; C24, 0, (TODAY() - C24) / (D24 - C24)))</f>
        <v>1</v>
      </c>
      <c r="H24" s="1">
        <v>0.1</v>
      </c>
    </row>
    <row r="25" spans="1:8">
      <c r="B25" s="50"/>
    </row>
    <row r="26" spans="1:8">
      <c r="B26" s="50"/>
    </row>
    <row r="27" spans="1:8">
      <c r="B27" s="50"/>
    </row>
    <row r="28" spans="1:8">
      <c r="B28" s="50"/>
    </row>
    <row r="29" spans="1:8">
      <c r="B29" s="50"/>
    </row>
    <row r="30" spans="1:8">
      <c r="B30" s="50"/>
    </row>
    <row r="31" spans="1:8">
      <c r="B31" s="50"/>
    </row>
    <row r="32" spans="1:8">
      <c r="B32" s="50"/>
    </row>
  </sheetData>
  <mergeCells count="38">
    <mergeCell ref="Z2:AC2"/>
    <mergeCell ref="BF5:BG5"/>
    <mergeCell ref="AV5:AW5"/>
    <mergeCell ref="P5:Q5"/>
    <mergeCell ref="R5:S5"/>
    <mergeCell ref="AX5:AY5"/>
    <mergeCell ref="I1:BH1"/>
    <mergeCell ref="AZ5:BA5"/>
    <mergeCell ref="V2:Y2"/>
    <mergeCell ref="BB5:BC5"/>
    <mergeCell ref="L5:M5"/>
    <mergeCell ref="AT5:AU5"/>
    <mergeCell ref="BD5:BE5"/>
    <mergeCell ref="N5:O5"/>
    <mergeCell ref="I2:L2"/>
    <mergeCell ref="X5:Y5"/>
    <mergeCell ref="AD2:AH2"/>
    <mergeCell ref="Z5:AA5"/>
    <mergeCell ref="AF5:AG5"/>
    <mergeCell ref="M2:P2"/>
    <mergeCell ref="AR5:AS5"/>
    <mergeCell ref="AV2:AY2"/>
    <mergeCell ref="J5:K5"/>
    <mergeCell ref="AM2:AQ2"/>
    <mergeCell ref="T5:U5"/>
    <mergeCell ref="BE2:BH2"/>
    <mergeCell ref="V5:W5"/>
    <mergeCell ref="AB5:AC5"/>
    <mergeCell ref="AD5:AE5"/>
    <mergeCell ref="AR2:AU2"/>
    <mergeCell ref="AI2:AL2"/>
    <mergeCell ref="AH5:AI5"/>
    <mergeCell ref="AN5:AO5"/>
    <mergeCell ref="AP5:AQ5"/>
    <mergeCell ref="AJ5:AK5"/>
    <mergeCell ref="AL5:AM5"/>
    <mergeCell ref="Q2:U2"/>
    <mergeCell ref="AZ2:BD2"/>
  </mergeCells>
  <conditionalFormatting sqref="I7:BH7">
    <cfRule type="expression" dxfId="14" priority="3" stopIfTrue="1">
      <formula>AND(I$4&gt;=$D6, I$4&lt;=$E6)</formula>
    </cfRule>
  </conditionalFormatting>
  <conditionalFormatting sqref="I7:BH19">
    <cfRule type="expression" dxfId="13" priority="1">
      <formula>AND(I$4&gt;=$C7, I$4&lt;=$C7+(($D7-$C7)*$H7))</formula>
    </cfRule>
    <cfRule type="expression" dxfId="12" priority="2">
      <formula>AND(I$4&gt;=$C7, I$4&lt;=$D7)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21"/>
  <sheetViews>
    <sheetView showGridLines="0" zoomScaleNormal="100" workbookViewId="0">
      <selection activeCell="G30" sqref="G30"/>
    </sheetView>
  </sheetViews>
  <sheetFormatPr defaultRowHeight="14.5" outlineLevelRow="1"/>
  <cols>
    <col min="1" max="1" width="15.1796875" customWidth="1"/>
    <col min="2" max="2" width="37.453125" customWidth="1"/>
    <col min="3" max="3" width="12.453125" style="10" bestFit="1" customWidth="1"/>
    <col min="4" max="4" width="13.26953125" style="10" bestFit="1" customWidth="1"/>
    <col min="5" max="5" width="9.1796875" style="68" bestFit="1" customWidth="1"/>
    <col min="6" max="6" width="12.54296875" style="68" customWidth="1"/>
    <col min="7" max="7" width="7.54296875" customWidth="1"/>
    <col min="8" max="8" width="9.54296875" customWidth="1"/>
    <col min="9" max="9" width="12.26953125" customWidth="1"/>
    <col min="10" max="11" width="5.26953125" bestFit="1" customWidth="1"/>
    <col min="12" max="12" width="4.1796875" bestFit="1" customWidth="1"/>
    <col min="13" max="13" width="5.26953125" bestFit="1" customWidth="1"/>
    <col min="14" max="14" width="4.26953125" bestFit="1" customWidth="1"/>
    <col min="15" max="15" width="5.26953125" bestFit="1" customWidth="1"/>
    <col min="16" max="16" width="4.1796875" bestFit="1" customWidth="1"/>
    <col min="17" max="17" width="5.26953125" bestFit="1" customWidth="1"/>
    <col min="18" max="18" width="4.7265625" bestFit="1" customWidth="1"/>
    <col min="19" max="61" width="5.26953125" bestFit="1" customWidth="1"/>
  </cols>
  <sheetData>
    <row r="1" spans="1:61">
      <c r="A1" s="66" t="s">
        <v>152</v>
      </c>
      <c r="B1" s="13">
        <f ca="1">AVERAGE(G8:G14)</f>
        <v>1</v>
      </c>
      <c r="C1" s="67" t="s">
        <v>203</v>
      </c>
      <c r="D1" s="69">
        <v>46027</v>
      </c>
    </row>
    <row r="2" spans="1:61">
      <c r="A2" s="66" t="s">
        <v>151</v>
      </c>
      <c r="B2" s="13">
        <f>AVERAGE(H8,H9,H12,H13,H14)</f>
        <v>0.93333333333333335</v>
      </c>
      <c r="C2" s="67" t="s">
        <v>204</v>
      </c>
      <c r="D2" s="69">
        <v>46157</v>
      </c>
      <c r="J2" s="379" t="s">
        <v>77</v>
      </c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1"/>
    </row>
    <row r="3" spans="1:61" ht="16.5" customHeight="1">
      <c r="J3" s="76" t="s">
        <v>79</v>
      </c>
      <c r="K3" s="76"/>
      <c r="L3" s="76"/>
      <c r="M3" s="76"/>
      <c r="N3" s="76" t="s">
        <v>80</v>
      </c>
      <c r="O3" s="76"/>
      <c r="P3" s="76"/>
      <c r="Q3" s="76"/>
      <c r="R3" s="76" t="s">
        <v>81</v>
      </c>
      <c r="S3" s="76"/>
      <c r="T3" s="76"/>
      <c r="U3" s="76"/>
      <c r="V3" s="76"/>
      <c r="W3" s="76" t="s">
        <v>82</v>
      </c>
      <c r="X3" s="76"/>
      <c r="Y3" s="76"/>
      <c r="Z3" s="76"/>
      <c r="AA3" s="76" t="s">
        <v>83</v>
      </c>
      <c r="AB3" s="76"/>
      <c r="AC3" s="76"/>
      <c r="AD3" s="76"/>
      <c r="AE3" s="76" t="s">
        <v>84</v>
      </c>
      <c r="AF3" s="76"/>
      <c r="AG3" s="76"/>
      <c r="AH3" s="76"/>
      <c r="AI3" s="76"/>
      <c r="AJ3" s="76" t="s">
        <v>85</v>
      </c>
      <c r="AK3" s="76"/>
      <c r="AL3" s="76"/>
      <c r="AM3" s="76"/>
      <c r="AN3" s="76" t="s">
        <v>86</v>
      </c>
      <c r="AO3" s="76"/>
      <c r="AP3" s="76"/>
      <c r="AQ3" s="76"/>
      <c r="AR3" s="76"/>
      <c r="AS3" s="76" t="s">
        <v>87</v>
      </c>
      <c r="AT3" s="76"/>
      <c r="AU3" s="76"/>
      <c r="AV3" s="76"/>
      <c r="AW3" s="76" t="s">
        <v>88</v>
      </c>
      <c r="AX3" s="76"/>
      <c r="AY3" s="76"/>
      <c r="AZ3" s="76"/>
      <c r="BA3" s="76" t="s">
        <v>89</v>
      </c>
      <c r="BB3" s="76"/>
      <c r="BC3" s="76"/>
      <c r="BD3" s="76"/>
      <c r="BE3" s="76"/>
      <c r="BF3" s="76" t="s">
        <v>90</v>
      </c>
      <c r="BG3" s="76"/>
      <c r="BH3" s="76"/>
      <c r="BI3" s="76"/>
    </row>
    <row r="4" spans="1:61" s="73" customFormat="1">
      <c r="E4" s="75"/>
      <c r="F4" s="75"/>
      <c r="J4" s="76">
        <v>5</v>
      </c>
      <c r="K4" s="76">
        <v>12</v>
      </c>
      <c r="L4" s="76">
        <v>19</v>
      </c>
      <c r="M4" s="76">
        <v>26</v>
      </c>
      <c r="N4" s="76">
        <v>2</v>
      </c>
      <c r="O4" s="76">
        <v>9</v>
      </c>
      <c r="P4" s="76">
        <v>16</v>
      </c>
      <c r="Q4" s="76">
        <v>23</v>
      </c>
      <c r="R4" s="76">
        <v>2</v>
      </c>
      <c r="S4" s="76">
        <v>9</v>
      </c>
      <c r="T4" s="76">
        <v>16</v>
      </c>
      <c r="U4" s="76">
        <v>23</v>
      </c>
      <c r="V4" s="76">
        <v>30</v>
      </c>
      <c r="W4" s="76">
        <v>6</v>
      </c>
      <c r="X4" s="76">
        <v>13</v>
      </c>
      <c r="Y4" s="76">
        <v>20</v>
      </c>
      <c r="Z4" s="76">
        <v>27</v>
      </c>
      <c r="AA4" s="76">
        <v>4</v>
      </c>
      <c r="AB4" s="76">
        <v>11</v>
      </c>
      <c r="AC4" s="76">
        <v>18</v>
      </c>
      <c r="AD4" s="76">
        <v>25</v>
      </c>
      <c r="AE4" s="76">
        <v>1</v>
      </c>
      <c r="AF4" s="76">
        <v>8</v>
      </c>
      <c r="AG4" s="76">
        <v>15</v>
      </c>
      <c r="AH4" s="76">
        <v>22</v>
      </c>
      <c r="AI4" s="76">
        <v>29</v>
      </c>
      <c r="AJ4" s="76">
        <v>6</v>
      </c>
      <c r="AK4" s="76">
        <v>13</v>
      </c>
      <c r="AL4" s="76">
        <v>20</v>
      </c>
      <c r="AM4" s="76">
        <v>27</v>
      </c>
      <c r="AN4" s="76">
        <v>3</v>
      </c>
      <c r="AO4" s="76">
        <v>10</v>
      </c>
      <c r="AP4" s="76">
        <v>17</v>
      </c>
      <c r="AQ4" s="76">
        <v>24</v>
      </c>
      <c r="AR4" s="76">
        <v>31</v>
      </c>
      <c r="AS4" s="76">
        <v>7</v>
      </c>
      <c r="AT4" s="76">
        <v>14</v>
      </c>
      <c r="AU4" s="76">
        <v>21</v>
      </c>
      <c r="AV4" s="76">
        <v>28</v>
      </c>
      <c r="AW4" s="76">
        <v>5</v>
      </c>
      <c r="AX4" s="76">
        <v>12</v>
      </c>
      <c r="AY4" s="76">
        <v>19</v>
      </c>
      <c r="AZ4" s="76">
        <v>26</v>
      </c>
      <c r="BA4" s="76">
        <v>2</v>
      </c>
      <c r="BB4" s="76">
        <v>9</v>
      </c>
      <c r="BC4" s="76">
        <v>16</v>
      </c>
      <c r="BD4" s="76">
        <v>23</v>
      </c>
      <c r="BE4" s="76">
        <v>30</v>
      </c>
      <c r="BF4" s="76">
        <v>7</v>
      </c>
      <c r="BG4" s="76">
        <v>14</v>
      </c>
      <c r="BH4" s="76">
        <v>21</v>
      </c>
      <c r="BI4" s="76">
        <v>28</v>
      </c>
    </row>
    <row r="5" spans="1:61">
      <c r="J5" s="76" t="s">
        <v>205</v>
      </c>
      <c r="K5" s="76" t="s">
        <v>206</v>
      </c>
      <c r="L5" s="76" t="s">
        <v>207</v>
      </c>
      <c r="M5" s="76" t="s">
        <v>208</v>
      </c>
      <c r="N5" s="76" t="s">
        <v>209</v>
      </c>
      <c r="O5" s="76" t="s">
        <v>210</v>
      </c>
      <c r="P5" s="76" t="s">
        <v>211</v>
      </c>
      <c r="Q5" s="76" t="s">
        <v>212</v>
      </c>
      <c r="R5" s="76" t="s">
        <v>213</v>
      </c>
      <c r="S5" s="76" t="s">
        <v>214</v>
      </c>
      <c r="T5" s="76" t="s">
        <v>215</v>
      </c>
      <c r="U5" s="76" t="s">
        <v>216</v>
      </c>
      <c r="V5" s="76" t="s">
        <v>217</v>
      </c>
      <c r="W5" s="76" t="s">
        <v>218</v>
      </c>
      <c r="X5" s="76" t="s">
        <v>219</v>
      </c>
      <c r="Y5" s="76" t="s">
        <v>220</v>
      </c>
      <c r="Z5" s="76" t="s">
        <v>221</v>
      </c>
      <c r="AA5" s="76" t="s">
        <v>222</v>
      </c>
      <c r="AB5" s="76" t="s">
        <v>223</v>
      </c>
      <c r="AC5" s="76" t="s">
        <v>224</v>
      </c>
      <c r="AD5" s="76" t="s">
        <v>225</v>
      </c>
      <c r="AE5" s="76" t="s">
        <v>226</v>
      </c>
      <c r="AF5" s="76" t="s">
        <v>227</v>
      </c>
      <c r="AG5" s="76" t="s">
        <v>228</v>
      </c>
      <c r="AH5" s="76" t="s">
        <v>229</v>
      </c>
      <c r="AI5" s="76" t="s">
        <v>230</v>
      </c>
      <c r="AJ5" s="76" t="s">
        <v>231</v>
      </c>
      <c r="AK5" s="76" t="s">
        <v>232</v>
      </c>
      <c r="AL5" s="76" t="s">
        <v>233</v>
      </c>
      <c r="AM5" s="76" t="s">
        <v>234</v>
      </c>
      <c r="AN5" s="76" t="s">
        <v>235</v>
      </c>
      <c r="AO5" s="76" t="s">
        <v>236</v>
      </c>
      <c r="AP5" s="76" t="s">
        <v>237</v>
      </c>
      <c r="AQ5" s="76" t="s">
        <v>238</v>
      </c>
      <c r="AR5" s="76" t="s">
        <v>239</v>
      </c>
      <c r="AS5" s="76" t="s">
        <v>240</v>
      </c>
      <c r="AT5" s="76" t="s">
        <v>241</v>
      </c>
      <c r="AU5" s="76" t="s">
        <v>242</v>
      </c>
      <c r="AV5" s="76" t="s">
        <v>243</v>
      </c>
      <c r="AW5" s="76" t="s">
        <v>244</v>
      </c>
      <c r="AX5" s="76" t="s">
        <v>245</v>
      </c>
      <c r="AY5" s="76" t="s">
        <v>246</v>
      </c>
      <c r="AZ5" s="76" t="s">
        <v>247</v>
      </c>
      <c r="BA5" s="76" t="s">
        <v>248</v>
      </c>
      <c r="BB5" s="76" t="s">
        <v>249</v>
      </c>
      <c r="BC5" s="76" t="s">
        <v>250</v>
      </c>
      <c r="BD5" s="76" t="s">
        <v>251</v>
      </c>
      <c r="BE5" s="76" t="s">
        <v>252</v>
      </c>
      <c r="BF5" s="76" t="s">
        <v>253</v>
      </c>
      <c r="BG5" s="76" t="s">
        <v>254</v>
      </c>
      <c r="BH5" s="76" t="s">
        <v>255</v>
      </c>
      <c r="BI5" s="76" t="s">
        <v>256</v>
      </c>
    </row>
    <row r="6" spans="1:61">
      <c r="A6" s="77" t="s">
        <v>1</v>
      </c>
      <c r="B6" s="77" t="s">
        <v>257</v>
      </c>
      <c r="C6" s="78" t="s">
        <v>155</v>
      </c>
      <c r="D6" s="78" t="s">
        <v>156</v>
      </c>
      <c r="E6" s="77" t="s">
        <v>15</v>
      </c>
      <c r="F6" s="77" t="s">
        <v>258</v>
      </c>
      <c r="G6" s="77" t="s">
        <v>158</v>
      </c>
      <c r="H6" s="77" t="s">
        <v>159</v>
      </c>
      <c r="I6" s="77" t="s">
        <v>259</v>
      </c>
      <c r="J6" s="144" t="s">
        <v>172</v>
      </c>
      <c r="K6" s="144" t="s">
        <v>173</v>
      </c>
      <c r="L6" s="144"/>
      <c r="M6" s="144" t="s">
        <v>174</v>
      </c>
      <c r="N6" s="144"/>
      <c r="O6" s="144" t="s">
        <v>175</v>
      </c>
      <c r="P6" s="144"/>
      <c r="Q6" s="144" t="s">
        <v>176</v>
      </c>
      <c r="R6" s="144"/>
      <c r="S6" s="144" t="s">
        <v>177</v>
      </c>
      <c r="T6" s="144"/>
      <c r="U6" s="144" t="s">
        <v>178</v>
      </c>
      <c r="V6" s="144"/>
      <c r="W6" s="144" t="s">
        <v>179</v>
      </c>
      <c r="X6" s="144"/>
      <c r="Y6" s="144" t="s">
        <v>180</v>
      </c>
      <c r="Z6" s="144"/>
      <c r="AA6" s="144" t="s">
        <v>181</v>
      </c>
      <c r="AB6" s="144"/>
      <c r="AC6" s="144" t="s">
        <v>182</v>
      </c>
      <c r="AD6" s="144"/>
      <c r="AE6" s="144" t="s">
        <v>183</v>
      </c>
      <c r="AF6" s="144"/>
      <c r="AG6" s="144" t="s">
        <v>184</v>
      </c>
      <c r="AH6" s="144"/>
      <c r="AI6" s="144" t="s">
        <v>185</v>
      </c>
      <c r="AJ6" s="144"/>
      <c r="AK6" s="144" t="s">
        <v>186</v>
      </c>
      <c r="AL6" s="144"/>
      <c r="AM6" s="144" t="s">
        <v>187</v>
      </c>
      <c r="AN6" s="144"/>
      <c r="AO6" s="144" t="s">
        <v>188</v>
      </c>
      <c r="AP6" s="144"/>
      <c r="AQ6" s="144" t="s">
        <v>189</v>
      </c>
      <c r="AR6" s="144"/>
      <c r="AS6" s="144" t="s">
        <v>190</v>
      </c>
      <c r="AT6" s="144"/>
      <c r="AU6" s="144" t="s">
        <v>191</v>
      </c>
      <c r="AV6" s="144"/>
      <c r="AW6" s="144" t="s">
        <v>192</v>
      </c>
      <c r="AX6" s="144"/>
      <c r="AY6" s="144" t="s">
        <v>193</v>
      </c>
      <c r="AZ6" s="144"/>
      <c r="BA6" s="144" t="s">
        <v>194</v>
      </c>
      <c r="BB6" s="144"/>
      <c r="BC6" s="144" t="s">
        <v>195</v>
      </c>
      <c r="BD6" s="144"/>
      <c r="BE6" s="144" t="s">
        <v>196</v>
      </c>
      <c r="BF6" s="144"/>
      <c r="BG6" s="144" t="s">
        <v>197</v>
      </c>
      <c r="BH6" s="144"/>
      <c r="BI6" s="144" t="s">
        <v>260</v>
      </c>
    </row>
    <row r="7" spans="1:61">
      <c r="A7" s="79" t="s">
        <v>160</v>
      </c>
      <c r="B7" s="79"/>
      <c r="C7" s="80"/>
      <c r="D7" s="80"/>
      <c r="E7" s="81"/>
      <c r="F7" s="81"/>
      <c r="G7" s="82"/>
      <c r="H7" s="83"/>
      <c r="I7" s="83"/>
    </row>
    <row r="8" spans="1:61">
      <c r="B8" t="s">
        <v>261</v>
      </c>
      <c r="C8" s="70">
        <v>46027</v>
      </c>
      <c r="D8" s="70">
        <v>46045</v>
      </c>
      <c r="E8" s="68" t="s">
        <v>262</v>
      </c>
      <c r="F8" s="68">
        <f>NETWORKDAYS(C8, D8, holiday!$A$2:$A$18)</f>
        <v>15</v>
      </c>
      <c r="G8" s="1">
        <f ca="1">MIN(1, MAX(0, NETWORKDAYS(C8, TODAY(), holiday!$A$2:$A$18) / F8))</f>
        <v>1</v>
      </c>
      <c r="H8" s="1">
        <f>COUNTIFS('Requirement Baseline v5'!B:B,B8,'Requirement Baseline v5'!E:E,1)/COUNTIF('Requirement Baseline v5'!B:B,'master plan V5'!B8)</f>
        <v>1</v>
      </c>
      <c r="I8" s="1" t="s">
        <v>263</v>
      </c>
    </row>
    <row r="9" spans="1:61" outlineLevel="1">
      <c r="B9" t="s">
        <v>264</v>
      </c>
      <c r="C9" s="70">
        <v>46048</v>
      </c>
      <c r="D9" s="70">
        <v>46073</v>
      </c>
      <c r="E9" s="68" t="s">
        <v>265</v>
      </c>
      <c r="F9" s="68">
        <f>NETWORKDAYS(C9, D9, holiday!$A$2:$A$18)</f>
        <v>20</v>
      </c>
      <c r="G9" s="1">
        <f ca="1">MIN(1, MAX(0, NETWORKDAYS(C9, TODAY(), holiday!$A$2:$A$18) / F9))</f>
        <v>1</v>
      </c>
      <c r="H9" s="1">
        <f>COUNTIFS('Requirement Baseline v5'!B:B,B9,'Requirement Baseline v5'!E:E,1)/COUNTIF('Requirement Baseline v5'!B:B,'master plan V5'!B9)</f>
        <v>1</v>
      </c>
      <c r="I9" s="1" t="s">
        <v>263</v>
      </c>
    </row>
    <row r="10" spans="1:61" outlineLevel="1">
      <c r="B10" t="s">
        <v>266</v>
      </c>
      <c r="C10" s="70">
        <v>46048</v>
      </c>
      <c r="D10" s="70">
        <v>46073</v>
      </c>
      <c r="E10" s="68" t="s">
        <v>265</v>
      </c>
      <c r="F10" s="68">
        <f>NETWORKDAYS(C10, D10, holiday!$A$2:$A$18)</f>
        <v>20</v>
      </c>
      <c r="G10" s="1">
        <f ca="1">MIN(1, MAX(0, NETWORKDAYS(C10, TODAY(), holiday!$A$2:$A$18) / F10))</f>
        <v>1</v>
      </c>
      <c r="H10" s="1">
        <f>COUNTIFS('Requirement Baseline v5'!B:B,B10,'Requirement Baseline v5'!E:E,1)/COUNTIF('Requirement Baseline v5'!B:B,'master plan V5'!B10)</f>
        <v>1</v>
      </c>
      <c r="I10" s="1" t="s">
        <v>263</v>
      </c>
    </row>
    <row r="11" spans="1:61" outlineLevel="1">
      <c r="A11" s="79" t="s">
        <v>167</v>
      </c>
      <c r="B11" s="79"/>
      <c r="C11" s="80"/>
      <c r="D11" s="80"/>
      <c r="E11" s="81"/>
      <c r="F11" s="81"/>
      <c r="G11" s="81"/>
      <c r="H11" s="81"/>
      <c r="I11" s="83"/>
    </row>
    <row r="12" spans="1:61">
      <c r="B12" s="50" t="s">
        <v>267</v>
      </c>
      <c r="C12" s="70">
        <v>46062</v>
      </c>
      <c r="D12" s="70">
        <v>46101</v>
      </c>
      <c r="E12" s="68" t="s">
        <v>268</v>
      </c>
      <c r="F12" s="68">
        <f>NETWORKDAYS(C12, D12, holiday!$A$2:$A$18)</f>
        <v>29</v>
      </c>
      <c r="G12" s="1">
        <f ca="1">MIN(1, MAX(0, NETWORKDAYS(C12, TODAY(), holiday!$A$2:$A$18) / F12))</f>
        <v>1</v>
      </c>
      <c r="H12" s="1">
        <f>COUNTIFS('Requirement Baseline v5'!B:B,B12,'Requirement Baseline v5'!E:E,1)/COUNTIF('Requirement Baseline v5'!B:B,'master plan V5'!B12)</f>
        <v>1</v>
      </c>
      <c r="I12" s="1" t="s">
        <v>263</v>
      </c>
    </row>
    <row r="13" spans="1:61" outlineLevel="1">
      <c r="B13" s="50" t="s">
        <v>267</v>
      </c>
      <c r="C13" s="70">
        <v>46104</v>
      </c>
      <c r="D13" s="70">
        <v>46129</v>
      </c>
      <c r="E13" s="68" t="s">
        <v>269</v>
      </c>
      <c r="F13" s="68">
        <f>NETWORKDAYS(C13, D13, holiday!$A$2:$A$18)</f>
        <v>16</v>
      </c>
      <c r="G13" s="1">
        <f ca="1">MIN(1, MAX(0, NETWORKDAYS(C13, TODAY(), holiday!$A$2:$A$18) / F13))</f>
        <v>1</v>
      </c>
      <c r="H13" s="1">
        <f>COUNTIFS('Requirement Baseline v5'!B:B,B13,'Requirement Baseline v5'!E:E,1)/COUNTIF('Requirement Baseline v5'!B:B,'master plan V5'!B13)</f>
        <v>1</v>
      </c>
      <c r="I13" s="1" t="s">
        <v>263</v>
      </c>
    </row>
    <row r="14" spans="1:61" outlineLevel="1">
      <c r="B14" s="50" t="s">
        <v>270</v>
      </c>
      <c r="C14" s="70">
        <v>46132</v>
      </c>
      <c r="D14" s="70">
        <v>46157</v>
      </c>
      <c r="E14" s="68" t="s">
        <v>271</v>
      </c>
      <c r="F14" s="68">
        <f>NETWORKDAYS(C14, D14, holiday!$A$2:$A$18)</f>
        <v>18</v>
      </c>
      <c r="G14" s="1">
        <f ca="1">MIN(1, MAX(0, NETWORKDAYS(C14, TODAY(), holiday!$A$2:$A$18) / F14))</f>
        <v>1</v>
      </c>
      <c r="H14" s="1">
        <f>COUNTIFS('Requirement Baseline v5'!B:B,B14,'Requirement Baseline v5'!E:E,1)/COUNTIF('Requirement Baseline v5'!B:B,'master plan V5'!B14)</f>
        <v>0.66666666666666663</v>
      </c>
      <c r="I14" s="1" t="s">
        <v>272</v>
      </c>
    </row>
    <row r="15" spans="1:61" outlineLevel="1"/>
    <row r="16" spans="1:61">
      <c r="B16" s="50"/>
    </row>
    <row r="17" spans="2:2">
      <c r="B17" s="50"/>
    </row>
    <row r="18" spans="2:2">
      <c r="B18" s="50"/>
    </row>
    <row r="19" spans="2:2">
      <c r="B19" s="50"/>
    </row>
    <row r="20" spans="2:2">
      <c r="B20" s="50"/>
    </row>
    <row r="21" spans="2:2">
      <c r="B21" s="50"/>
    </row>
  </sheetData>
  <mergeCells count="1">
    <mergeCell ref="J2:B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>
      <selection activeCell="C33" sqref="C33"/>
    </sheetView>
  </sheetViews>
  <sheetFormatPr defaultRowHeight="14.5"/>
  <cols>
    <col min="1" max="1" width="11.7265625" customWidth="1"/>
    <col min="2" max="3" width="15.7265625" customWidth="1"/>
    <col min="4" max="4" width="13.7265625" bestFit="1" customWidth="1"/>
    <col min="5" max="5" width="29.81640625" style="73" customWidth="1"/>
    <col min="6" max="6" width="10.26953125" bestFit="1" customWidth="1"/>
  </cols>
  <sheetData>
    <row r="1" spans="1:8">
      <c r="A1" s="145" t="s">
        <v>1</v>
      </c>
      <c r="B1" s="145" t="s">
        <v>273</v>
      </c>
      <c r="C1" s="145" t="s">
        <v>274</v>
      </c>
      <c r="D1" s="145" t="s">
        <v>15</v>
      </c>
      <c r="E1" s="146" t="s">
        <v>275</v>
      </c>
      <c r="F1" s="12"/>
      <c r="G1" s="12"/>
      <c r="H1" s="12"/>
    </row>
    <row r="2" spans="1:8">
      <c r="A2" s="71" t="s">
        <v>8</v>
      </c>
      <c r="B2" s="71" t="s">
        <v>276</v>
      </c>
      <c r="C2" s="71" t="s">
        <v>277</v>
      </c>
      <c r="D2" s="71">
        <v>18</v>
      </c>
      <c r="E2" s="72">
        <v>1</v>
      </c>
      <c r="F2" s="36"/>
    </row>
    <row r="3" spans="1:8">
      <c r="A3" s="71" t="s">
        <v>8</v>
      </c>
      <c r="B3" s="71" t="s">
        <v>276</v>
      </c>
      <c r="C3" s="71" t="s">
        <v>278</v>
      </c>
      <c r="D3" s="71">
        <v>18</v>
      </c>
      <c r="E3" s="73">
        <v>1</v>
      </c>
      <c r="F3" s="36"/>
    </row>
    <row r="4" spans="1:8">
      <c r="A4" s="71" t="s">
        <v>8</v>
      </c>
      <c r="B4" s="71" t="s">
        <v>276</v>
      </c>
      <c r="C4" s="71" t="s">
        <v>279</v>
      </c>
      <c r="D4" s="71">
        <v>19</v>
      </c>
      <c r="E4" s="73">
        <v>1</v>
      </c>
      <c r="F4" s="36"/>
    </row>
    <row r="5" spans="1:8">
      <c r="A5" s="71" t="s">
        <v>8</v>
      </c>
      <c r="B5" s="71" t="s">
        <v>280</v>
      </c>
      <c r="C5" s="71" t="s">
        <v>277</v>
      </c>
      <c r="D5" s="71">
        <v>20</v>
      </c>
      <c r="E5" s="73">
        <v>1</v>
      </c>
      <c r="F5" s="36"/>
    </row>
    <row r="6" spans="1:8">
      <c r="A6" s="71" t="s">
        <v>8</v>
      </c>
      <c r="B6" s="71" t="s">
        <v>280</v>
      </c>
      <c r="C6" s="71" t="s">
        <v>278</v>
      </c>
      <c r="D6" s="71">
        <v>21</v>
      </c>
      <c r="E6" s="73">
        <v>1</v>
      </c>
      <c r="F6" s="36"/>
    </row>
    <row r="7" spans="1:8">
      <c r="A7" s="71" t="s">
        <v>8</v>
      </c>
      <c r="B7" s="71" t="s">
        <v>280</v>
      </c>
      <c r="C7" s="71" t="s">
        <v>279</v>
      </c>
      <c r="D7" s="71">
        <v>21</v>
      </c>
      <c r="E7" s="73">
        <v>1</v>
      </c>
      <c r="F7" s="36"/>
    </row>
    <row r="8" spans="1:8">
      <c r="A8" s="71" t="s">
        <v>9</v>
      </c>
      <c r="B8" s="71" t="s">
        <v>281</v>
      </c>
      <c r="C8" s="71" t="s">
        <v>277</v>
      </c>
      <c r="D8" s="71">
        <v>21</v>
      </c>
      <c r="E8" s="73">
        <v>1</v>
      </c>
      <c r="F8" s="36"/>
    </row>
    <row r="9" spans="1:8">
      <c r="A9" s="71" t="s">
        <v>9</v>
      </c>
      <c r="B9" s="71" t="s">
        <v>281</v>
      </c>
      <c r="C9" s="71" t="s">
        <v>278</v>
      </c>
      <c r="D9" s="71">
        <v>22</v>
      </c>
      <c r="E9" s="73">
        <v>1</v>
      </c>
      <c r="F9" s="36"/>
    </row>
    <row r="10" spans="1:8">
      <c r="A10" s="71" t="s">
        <v>9</v>
      </c>
      <c r="B10" s="71" t="s">
        <v>281</v>
      </c>
      <c r="C10" s="71" t="s">
        <v>279</v>
      </c>
      <c r="D10" s="71">
        <v>23</v>
      </c>
      <c r="E10" s="73">
        <v>1</v>
      </c>
    </row>
    <row r="11" spans="1:8">
      <c r="A11" s="71" t="s">
        <v>9</v>
      </c>
      <c r="B11" s="71" t="s">
        <v>282</v>
      </c>
      <c r="C11" s="71" t="s">
        <v>277</v>
      </c>
      <c r="D11" s="71">
        <v>23</v>
      </c>
      <c r="E11" s="73">
        <v>1</v>
      </c>
    </row>
    <row r="12" spans="1:8">
      <c r="A12" s="71" t="s">
        <v>9</v>
      </c>
      <c r="B12" s="71" t="s">
        <v>282</v>
      </c>
      <c r="C12" s="71" t="s">
        <v>278</v>
      </c>
      <c r="D12" s="71">
        <v>24</v>
      </c>
      <c r="E12" s="73">
        <v>1</v>
      </c>
    </row>
    <row r="13" spans="1:8">
      <c r="A13" s="71" t="s">
        <v>9</v>
      </c>
      <c r="B13" s="71" t="s">
        <v>282</v>
      </c>
      <c r="C13" s="71" t="s">
        <v>279</v>
      </c>
      <c r="D13" s="71">
        <v>25</v>
      </c>
      <c r="E13" s="73">
        <v>1</v>
      </c>
    </row>
    <row r="14" spans="1:8">
      <c r="A14" s="71" t="s">
        <v>9</v>
      </c>
      <c r="B14" s="71" t="s">
        <v>283</v>
      </c>
      <c r="C14" s="71" t="s">
        <v>277</v>
      </c>
      <c r="D14" s="71">
        <v>25</v>
      </c>
      <c r="E14" s="73">
        <v>1</v>
      </c>
    </row>
    <row r="15" spans="1:8">
      <c r="A15" s="71" t="s">
        <v>9</v>
      </c>
      <c r="B15" s="71" t="s">
        <v>283</v>
      </c>
      <c r="C15" s="71" t="s">
        <v>278</v>
      </c>
      <c r="D15" s="71">
        <v>25</v>
      </c>
      <c r="E15" s="73">
        <v>1</v>
      </c>
    </row>
    <row r="16" spans="1:8">
      <c r="A16" s="71" t="s">
        <v>9</v>
      </c>
      <c r="B16" s="71" t="s">
        <v>283</v>
      </c>
      <c r="C16" s="71" t="s">
        <v>279</v>
      </c>
      <c r="D16" s="71">
        <v>26</v>
      </c>
      <c r="E16" s="73">
        <v>0</v>
      </c>
    </row>
  </sheetData>
  <autoFilter ref="A1:J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J30"/>
  <sheetViews>
    <sheetView showGridLines="0" topLeftCell="A3" zoomScaleNormal="100" workbookViewId="0">
      <selection activeCell="A28" sqref="A28:E30"/>
    </sheetView>
  </sheetViews>
  <sheetFormatPr defaultRowHeight="14.5"/>
  <cols>
    <col min="1" max="1" width="15.1796875" customWidth="1"/>
    <col min="2" max="2" width="33" customWidth="1"/>
    <col min="3" max="3" width="14.7265625" style="10" customWidth="1"/>
    <col min="4" max="4" width="13.26953125" style="10" customWidth="1"/>
    <col min="5" max="5" width="10.81640625" style="68" customWidth="1"/>
    <col min="6" max="6" width="11.26953125" style="68" customWidth="1"/>
    <col min="7" max="7" width="12.54296875" style="68" customWidth="1"/>
    <col min="8" max="8" width="10.26953125" customWidth="1"/>
    <col min="9" max="9" width="9.54296875" customWidth="1"/>
    <col min="10" max="10" width="12.26953125" style="167" customWidth="1"/>
    <col min="11" max="12" width="5.26953125" bestFit="1" customWidth="1"/>
    <col min="13" max="13" width="4.1796875" bestFit="1" customWidth="1"/>
    <col min="14" max="14" width="5.26953125" bestFit="1" customWidth="1"/>
    <col min="15" max="15" width="4.26953125" bestFit="1" customWidth="1"/>
    <col min="16" max="16" width="5.26953125" bestFit="1" customWidth="1"/>
    <col min="17" max="17" width="4.1796875" bestFit="1" customWidth="1"/>
    <col min="18" max="18" width="5.26953125" bestFit="1" customWidth="1"/>
    <col min="19" max="19" width="4.7265625" bestFit="1" customWidth="1"/>
    <col min="20" max="62" width="5.26953125" bestFit="1" customWidth="1"/>
  </cols>
  <sheetData>
    <row r="1" spans="1:62">
      <c r="A1" s="66" t="s">
        <v>152</v>
      </c>
      <c r="B1" s="181">
        <f ca="1">AVERAGE(H8, H12, H19, H22)</f>
        <v>0.44276315789473686</v>
      </c>
      <c r="C1" s="67" t="s">
        <v>203</v>
      </c>
      <c r="D1" s="182">
        <v>46027</v>
      </c>
      <c r="F1" s="180"/>
      <c r="H1" s="14"/>
    </row>
    <row r="2" spans="1:62">
      <c r="A2" s="66" t="s">
        <v>151</v>
      </c>
      <c r="B2" s="181">
        <f>AVERAGE(I8, I12, I19, I22)</f>
        <v>0.375</v>
      </c>
      <c r="C2" s="67" t="s">
        <v>204</v>
      </c>
      <c r="D2" s="183">
        <f>MAX(C8:D24)</f>
        <v>46381</v>
      </c>
      <c r="F2" s="180"/>
      <c r="H2" s="13"/>
      <c r="K2" s="383" t="s">
        <v>77</v>
      </c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1"/>
    </row>
    <row r="3" spans="1:62" ht="16.5" customHeight="1">
      <c r="C3" s="66" t="s">
        <v>284</v>
      </c>
      <c r="D3" s="184">
        <f>D2</f>
        <v>46381</v>
      </c>
      <c r="K3" s="382" t="s">
        <v>79</v>
      </c>
      <c r="L3" s="380"/>
      <c r="M3" s="380"/>
      <c r="N3" s="381"/>
      <c r="O3" s="382" t="s">
        <v>80</v>
      </c>
      <c r="P3" s="380"/>
      <c r="Q3" s="380"/>
      <c r="R3" s="381"/>
      <c r="S3" s="382" t="s">
        <v>81</v>
      </c>
      <c r="T3" s="380"/>
      <c r="U3" s="380"/>
      <c r="V3" s="380"/>
      <c r="W3" s="381"/>
      <c r="X3" s="382" t="s">
        <v>82</v>
      </c>
      <c r="Y3" s="380"/>
      <c r="Z3" s="380"/>
      <c r="AA3" s="381"/>
      <c r="AB3" s="382" t="s">
        <v>83</v>
      </c>
      <c r="AC3" s="380"/>
      <c r="AD3" s="380"/>
      <c r="AE3" s="381"/>
      <c r="AF3" s="382" t="s">
        <v>84</v>
      </c>
      <c r="AG3" s="380"/>
      <c r="AH3" s="380"/>
      <c r="AI3" s="380"/>
      <c r="AJ3" s="381"/>
      <c r="AK3" s="382" t="s">
        <v>85</v>
      </c>
      <c r="AL3" s="380"/>
      <c r="AM3" s="380"/>
      <c r="AN3" s="381"/>
      <c r="AO3" s="382" t="s">
        <v>86</v>
      </c>
      <c r="AP3" s="380"/>
      <c r="AQ3" s="380"/>
      <c r="AR3" s="380"/>
      <c r="AS3" s="381"/>
      <c r="AT3" s="382" t="s">
        <v>87</v>
      </c>
      <c r="AU3" s="380"/>
      <c r="AV3" s="380"/>
      <c r="AW3" s="381"/>
      <c r="AX3" s="382" t="s">
        <v>88</v>
      </c>
      <c r="AY3" s="380"/>
      <c r="AZ3" s="380"/>
      <c r="BA3" s="381"/>
      <c r="BB3" s="382" t="s">
        <v>89</v>
      </c>
      <c r="BC3" s="380"/>
      <c r="BD3" s="380"/>
      <c r="BE3" s="380"/>
      <c r="BF3" s="381"/>
      <c r="BG3" s="382" t="s">
        <v>90</v>
      </c>
      <c r="BH3" s="380"/>
      <c r="BI3" s="380"/>
      <c r="BJ3" s="381"/>
    </row>
    <row r="4" spans="1:62" s="73" customFormat="1">
      <c r="C4" s="125"/>
      <c r="E4" s="75"/>
      <c r="F4" s="75"/>
      <c r="G4" s="75"/>
      <c r="J4" s="168"/>
      <c r="K4" s="111">
        <f>D1</f>
        <v>46027</v>
      </c>
      <c r="L4" s="111">
        <f t="shared" ref="L4:AQ4" si="0">K4+7</f>
        <v>46034</v>
      </c>
      <c r="M4" s="111">
        <f t="shared" si="0"/>
        <v>46041</v>
      </c>
      <c r="N4" s="111">
        <f t="shared" si="0"/>
        <v>46048</v>
      </c>
      <c r="O4" s="111">
        <f t="shared" si="0"/>
        <v>46055</v>
      </c>
      <c r="P4" s="111">
        <f t="shared" si="0"/>
        <v>46062</v>
      </c>
      <c r="Q4" s="111">
        <f t="shared" si="0"/>
        <v>46069</v>
      </c>
      <c r="R4" s="111">
        <f t="shared" si="0"/>
        <v>46076</v>
      </c>
      <c r="S4" s="111">
        <f t="shared" si="0"/>
        <v>46083</v>
      </c>
      <c r="T4" s="111">
        <f t="shared" si="0"/>
        <v>46090</v>
      </c>
      <c r="U4" s="111">
        <f t="shared" si="0"/>
        <v>46097</v>
      </c>
      <c r="V4" s="111">
        <f t="shared" si="0"/>
        <v>46104</v>
      </c>
      <c r="W4" s="111">
        <f t="shared" si="0"/>
        <v>46111</v>
      </c>
      <c r="X4" s="111">
        <f t="shared" si="0"/>
        <v>46118</v>
      </c>
      <c r="Y4" s="111">
        <f t="shared" si="0"/>
        <v>46125</v>
      </c>
      <c r="Z4" s="111">
        <f t="shared" si="0"/>
        <v>46132</v>
      </c>
      <c r="AA4" s="111">
        <f t="shared" si="0"/>
        <v>46139</v>
      </c>
      <c r="AB4" s="111">
        <f t="shared" si="0"/>
        <v>46146</v>
      </c>
      <c r="AC4" s="111">
        <f t="shared" si="0"/>
        <v>46153</v>
      </c>
      <c r="AD4" s="111">
        <f t="shared" si="0"/>
        <v>46160</v>
      </c>
      <c r="AE4" s="111">
        <f t="shared" si="0"/>
        <v>46167</v>
      </c>
      <c r="AF4" s="111">
        <f t="shared" si="0"/>
        <v>46174</v>
      </c>
      <c r="AG4" s="111">
        <f t="shared" si="0"/>
        <v>46181</v>
      </c>
      <c r="AH4" s="111">
        <f t="shared" si="0"/>
        <v>46188</v>
      </c>
      <c r="AI4" s="111">
        <f t="shared" si="0"/>
        <v>46195</v>
      </c>
      <c r="AJ4" s="111">
        <f t="shared" si="0"/>
        <v>46202</v>
      </c>
      <c r="AK4" s="111">
        <f t="shared" si="0"/>
        <v>46209</v>
      </c>
      <c r="AL4" s="111">
        <f t="shared" si="0"/>
        <v>46216</v>
      </c>
      <c r="AM4" s="111">
        <f t="shared" si="0"/>
        <v>46223</v>
      </c>
      <c r="AN4" s="111">
        <f t="shared" si="0"/>
        <v>46230</v>
      </c>
      <c r="AO4" s="111">
        <f t="shared" si="0"/>
        <v>46237</v>
      </c>
      <c r="AP4" s="111">
        <f t="shared" si="0"/>
        <v>46244</v>
      </c>
      <c r="AQ4" s="111">
        <f t="shared" si="0"/>
        <v>46251</v>
      </c>
      <c r="AR4" s="111">
        <f t="shared" ref="AR4:BJ4" si="1">AQ4+7</f>
        <v>46258</v>
      </c>
      <c r="AS4" s="111">
        <f t="shared" si="1"/>
        <v>46265</v>
      </c>
      <c r="AT4" s="111">
        <f t="shared" si="1"/>
        <v>46272</v>
      </c>
      <c r="AU4" s="111">
        <f t="shared" si="1"/>
        <v>46279</v>
      </c>
      <c r="AV4" s="111">
        <f t="shared" si="1"/>
        <v>46286</v>
      </c>
      <c r="AW4" s="111">
        <f t="shared" si="1"/>
        <v>46293</v>
      </c>
      <c r="AX4" s="111">
        <f t="shared" si="1"/>
        <v>46300</v>
      </c>
      <c r="AY4" s="111">
        <f t="shared" si="1"/>
        <v>46307</v>
      </c>
      <c r="AZ4" s="111">
        <f t="shared" si="1"/>
        <v>46314</v>
      </c>
      <c r="BA4" s="111">
        <f t="shared" si="1"/>
        <v>46321</v>
      </c>
      <c r="BB4" s="111">
        <f t="shared" si="1"/>
        <v>46328</v>
      </c>
      <c r="BC4" s="111">
        <f t="shared" si="1"/>
        <v>46335</v>
      </c>
      <c r="BD4" s="111">
        <f t="shared" si="1"/>
        <v>46342</v>
      </c>
      <c r="BE4" s="111">
        <f t="shared" si="1"/>
        <v>46349</v>
      </c>
      <c r="BF4" s="111">
        <f t="shared" si="1"/>
        <v>46356</v>
      </c>
      <c r="BG4" s="111">
        <f t="shared" si="1"/>
        <v>46363</v>
      </c>
      <c r="BH4" s="111">
        <f t="shared" si="1"/>
        <v>46370</v>
      </c>
      <c r="BI4" s="111">
        <f t="shared" si="1"/>
        <v>46377</v>
      </c>
      <c r="BJ4" s="111">
        <f t="shared" si="1"/>
        <v>46384</v>
      </c>
    </row>
    <row r="5" spans="1:62">
      <c r="C5" s="125"/>
      <c r="D5" s="73"/>
      <c r="K5" s="112" t="s">
        <v>205</v>
      </c>
      <c r="L5" s="112" t="s">
        <v>206</v>
      </c>
      <c r="M5" s="112" t="s">
        <v>207</v>
      </c>
      <c r="N5" s="112" t="s">
        <v>208</v>
      </c>
      <c r="O5" s="112" t="s">
        <v>209</v>
      </c>
      <c r="P5" s="112" t="s">
        <v>210</v>
      </c>
      <c r="Q5" s="112" t="s">
        <v>211</v>
      </c>
      <c r="R5" s="112" t="s">
        <v>212</v>
      </c>
      <c r="S5" s="112" t="s">
        <v>213</v>
      </c>
      <c r="T5" s="112" t="s">
        <v>214</v>
      </c>
      <c r="U5" s="112" t="s">
        <v>215</v>
      </c>
      <c r="V5" s="112" t="s">
        <v>216</v>
      </c>
      <c r="W5" s="112" t="s">
        <v>217</v>
      </c>
      <c r="X5" s="112" t="s">
        <v>218</v>
      </c>
      <c r="Y5" s="112" t="s">
        <v>219</v>
      </c>
      <c r="Z5" s="112" t="s">
        <v>220</v>
      </c>
      <c r="AA5" s="112" t="s">
        <v>221</v>
      </c>
      <c r="AB5" s="112" t="s">
        <v>222</v>
      </c>
      <c r="AC5" s="112" t="s">
        <v>223</v>
      </c>
      <c r="AD5" s="112" t="s">
        <v>224</v>
      </c>
      <c r="AE5" s="112" t="s">
        <v>225</v>
      </c>
      <c r="AF5" s="112" t="s">
        <v>226</v>
      </c>
      <c r="AG5" s="112" t="s">
        <v>227</v>
      </c>
      <c r="AH5" s="112" t="s">
        <v>228</v>
      </c>
      <c r="AI5" s="112" t="s">
        <v>229</v>
      </c>
      <c r="AJ5" s="112" t="s">
        <v>230</v>
      </c>
      <c r="AK5" s="112" t="s">
        <v>231</v>
      </c>
      <c r="AL5" s="112" t="s">
        <v>232</v>
      </c>
      <c r="AM5" s="112" t="s">
        <v>233</v>
      </c>
      <c r="AN5" s="112" t="s">
        <v>234</v>
      </c>
      <c r="AO5" s="112" t="s">
        <v>235</v>
      </c>
      <c r="AP5" s="112" t="s">
        <v>236</v>
      </c>
      <c r="AQ5" s="112" t="s">
        <v>237</v>
      </c>
      <c r="AR5" s="112" t="s">
        <v>238</v>
      </c>
      <c r="AS5" s="112" t="s">
        <v>239</v>
      </c>
      <c r="AT5" s="112" t="s">
        <v>240</v>
      </c>
      <c r="AU5" s="112" t="s">
        <v>241</v>
      </c>
      <c r="AV5" s="112" t="s">
        <v>242</v>
      </c>
      <c r="AW5" s="112" t="s">
        <v>243</v>
      </c>
      <c r="AX5" s="112" t="s">
        <v>244</v>
      </c>
      <c r="AY5" s="112" t="s">
        <v>245</v>
      </c>
      <c r="AZ5" s="112" t="s">
        <v>246</v>
      </c>
      <c r="BA5" s="112" t="s">
        <v>247</v>
      </c>
      <c r="BB5" s="112" t="s">
        <v>248</v>
      </c>
      <c r="BC5" s="112" t="s">
        <v>249</v>
      </c>
      <c r="BD5" s="112" t="s">
        <v>250</v>
      </c>
      <c r="BE5" s="112" t="s">
        <v>251</v>
      </c>
      <c r="BF5" s="112" t="s">
        <v>252</v>
      </c>
      <c r="BG5" s="112" t="s">
        <v>253</v>
      </c>
      <c r="BH5" s="112" t="s">
        <v>254</v>
      </c>
      <c r="BI5" s="112" t="s">
        <v>255</v>
      </c>
      <c r="BJ5" s="112" t="s">
        <v>256</v>
      </c>
    </row>
    <row r="6" spans="1:62">
      <c r="K6" s="113" t="s">
        <v>172</v>
      </c>
      <c r="L6" s="383" t="s">
        <v>173</v>
      </c>
      <c r="M6" s="381"/>
      <c r="N6" s="383" t="s">
        <v>174</v>
      </c>
      <c r="O6" s="381"/>
      <c r="P6" s="383" t="s">
        <v>175</v>
      </c>
      <c r="Q6" s="381"/>
      <c r="R6" s="383" t="s">
        <v>176</v>
      </c>
      <c r="S6" s="381"/>
      <c r="T6" s="383" t="s">
        <v>177</v>
      </c>
      <c r="U6" s="381"/>
      <c r="V6" s="383" t="s">
        <v>178</v>
      </c>
      <c r="W6" s="381"/>
      <c r="X6" s="383" t="s">
        <v>179</v>
      </c>
      <c r="Y6" s="381"/>
      <c r="Z6" s="383" t="s">
        <v>180</v>
      </c>
      <c r="AA6" s="381"/>
      <c r="AB6" s="383" t="s">
        <v>181</v>
      </c>
      <c r="AC6" s="381"/>
      <c r="AD6" s="383" t="s">
        <v>182</v>
      </c>
      <c r="AE6" s="381"/>
      <c r="AF6" s="383" t="s">
        <v>183</v>
      </c>
      <c r="AG6" s="381"/>
      <c r="AH6" s="383" t="s">
        <v>184</v>
      </c>
      <c r="AI6" s="381"/>
      <c r="AJ6" s="383" t="s">
        <v>185</v>
      </c>
      <c r="AK6" s="381"/>
      <c r="AL6" s="383" t="s">
        <v>186</v>
      </c>
      <c r="AM6" s="381"/>
      <c r="AN6" s="383" t="s">
        <v>187</v>
      </c>
      <c r="AO6" s="381"/>
      <c r="AP6" s="383" t="s">
        <v>188</v>
      </c>
      <c r="AQ6" s="381"/>
      <c r="AR6" s="383" t="s">
        <v>189</v>
      </c>
      <c r="AS6" s="381"/>
      <c r="AT6" s="383" t="s">
        <v>190</v>
      </c>
      <c r="AU6" s="381"/>
      <c r="AV6" s="383" t="s">
        <v>191</v>
      </c>
      <c r="AW6" s="381"/>
      <c r="AX6" s="383" t="s">
        <v>192</v>
      </c>
      <c r="AY6" s="381"/>
      <c r="AZ6" s="383" t="s">
        <v>193</v>
      </c>
      <c r="BA6" s="381"/>
      <c r="BB6" s="383" t="s">
        <v>194</v>
      </c>
      <c r="BC6" s="381"/>
      <c r="BD6" s="383" t="s">
        <v>195</v>
      </c>
      <c r="BE6" s="381"/>
      <c r="BF6" s="383" t="s">
        <v>196</v>
      </c>
      <c r="BG6" s="381"/>
      <c r="BH6" s="383" t="s">
        <v>197</v>
      </c>
      <c r="BI6" s="381"/>
      <c r="BJ6" s="147" t="s">
        <v>260</v>
      </c>
    </row>
    <row r="7" spans="1:62">
      <c r="A7" s="100" t="s">
        <v>1</v>
      </c>
      <c r="B7" s="100" t="s">
        <v>257</v>
      </c>
      <c r="C7" s="100" t="s">
        <v>155</v>
      </c>
      <c r="D7" s="100" t="s">
        <v>156</v>
      </c>
      <c r="E7" s="100" t="s">
        <v>15</v>
      </c>
      <c r="F7" s="100" t="s">
        <v>285</v>
      </c>
      <c r="G7" s="100" t="s">
        <v>258</v>
      </c>
      <c r="H7" s="100" t="s">
        <v>158</v>
      </c>
      <c r="I7" s="100" t="s">
        <v>159</v>
      </c>
      <c r="J7" s="172" t="s">
        <v>259</v>
      </c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</row>
    <row r="8" spans="1:62">
      <c r="A8" s="101" t="s">
        <v>286</v>
      </c>
      <c r="B8" s="102" t="s">
        <v>287</v>
      </c>
      <c r="C8" s="115">
        <f>MIN(C9:D11)</f>
        <v>46027</v>
      </c>
      <c r="D8" s="115">
        <f>MAX(C9:D11)</f>
        <v>46157</v>
      </c>
      <c r="E8" s="103"/>
      <c r="F8" s="103"/>
      <c r="G8" s="103">
        <f>SUM(G9:G11)</f>
        <v>97</v>
      </c>
      <c r="H8" s="141">
        <f ca="1">AVERAGE(H9:H11)</f>
        <v>1</v>
      </c>
      <c r="I8" s="142">
        <f>AVERAGE(I9:I11)</f>
        <v>1</v>
      </c>
      <c r="J8" s="169"/>
      <c r="K8" s="99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</row>
    <row r="9" spans="1:62">
      <c r="A9" s="98"/>
      <c r="B9" s="105" t="s">
        <v>288</v>
      </c>
      <c r="C9" s="116">
        <v>46027</v>
      </c>
      <c r="D9" s="116">
        <v>46045</v>
      </c>
      <c r="E9" s="106" t="s">
        <v>262</v>
      </c>
      <c r="F9" s="126">
        <v>0.75</v>
      </c>
      <c r="G9" s="107">
        <f>NETWORKDAYS(C9, D9, holiday!$A$2:$A$18)</f>
        <v>15</v>
      </c>
      <c r="H9" s="108">
        <f ca="1">MIN(1, MAX(0, NETWORKDAYS(C9, TODAY(), holiday!$A$2:$A$18) / G9))</f>
        <v>1</v>
      </c>
      <c r="I9" s="108">
        <f>COUNTIFS('baseline v4'!B:B,B9,'baseline v4'!H:H,1)/COUNTIF('baseline v4'!B:B,'master plan v6'!B9)</f>
        <v>1</v>
      </c>
      <c r="J9" s="170" t="str">
        <f t="array" aca="1" ref="J9" ca="1">_xlfn.IFS(AND(H9=1, I9=1), "completed", AND(H9=0, I9=0), "not start yet", TRUE, "in progress")</f>
        <v>completed</v>
      </c>
      <c r="K9" s="99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</row>
    <row r="10" spans="1:62">
      <c r="A10" s="98"/>
      <c r="B10" s="105" t="s">
        <v>163</v>
      </c>
      <c r="C10" s="116">
        <v>46048</v>
      </c>
      <c r="D10" s="116">
        <v>46157</v>
      </c>
      <c r="E10" s="106" t="s">
        <v>289</v>
      </c>
      <c r="F10" s="126">
        <v>0.91</v>
      </c>
      <c r="G10" s="107">
        <f>NETWORKDAYS(C10, D10, holiday!$A$2:$A$18)</f>
        <v>73</v>
      </c>
      <c r="H10" s="108">
        <f ca="1">MIN(1, MAX(0, NETWORKDAYS(C10, TODAY(), holiday!$A$2:$A$18) / G10))</f>
        <v>1</v>
      </c>
      <c r="I10" s="108">
        <f>COUNTIFS('baseline v4'!B:B,B10,'baseline v4'!H:H,1)/COUNTIF('baseline v4'!B:B,'master plan v6'!B10)</f>
        <v>1</v>
      </c>
      <c r="J10" s="170" t="str">
        <f t="array" aca="1" ref="J10" ca="1">_xlfn.IFS(AND(H10=1, I10=1), "completed", AND(H10=0, I10=0), "not start yet", TRUE, "in progress")</f>
        <v>completed</v>
      </c>
      <c r="K10" s="99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</row>
    <row r="11" spans="1:62">
      <c r="A11" s="98"/>
      <c r="B11" s="105" t="s">
        <v>166</v>
      </c>
      <c r="C11" s="116">
        <v>46076</v>
      </c>
      <c r="D11" s="116">
        <v>46087</v>
      </c>
      <c r="E11" s="106">
        <v>22</v>
      </c>
      <c r="F11" s="126">
        <v>0.9</v>
      </c>
      <c r="G11" s="107">
        <f>NETWORKDAYS(C11, D11, holiday!$A$2:$A$18)</f>
        <v>9</v>
      </c>
      <c r="H11" s="108">
        <f ca="1">MIN(1, MAX(0, NETWORKDAYS(C11, TODAY(), holiday!$A$2:$A$18) / G11))</f>
        <v>1</v>
      </c>
      <c r="I11" s="108">
        <f>COUNTIFS('baseline v4'!B:B,B11,'baseline v4'!H:H,1)/COUNTIF('baseline v4'!B:B,'master plan v6'!B11)</f>
        <v>1</v>
      </c>
      <c r="J11" s="170" t="str">
        <f t="array" aca="1" ref="J11" ca="1">_xlfn.IFS(AND(H11=1, I11=1), "completed", AND(H11=0, I11=0), "not start yet", TRUE, "in progress")</f>
        <v>completed</v>
      </c>
      <c r="K11" s="99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</row>
    <row r="12" spans="1:62">
      <c r="A12" s="101" t="s">
        <v>167</v>
      </c>
      <c r="B12" s="110"/>
      <c r="C12" s="115">
        <f>MIN(C13:D18)</f>
        <v>46146</v>
      </c>
      <c r="D12" s="115">
        <f>MAX(C13:D18)</f>
        <v>46269</v>
      </c>
      <c r="E12" s="103"/>
      <c r="F12" s="103"/>
      <c r="G12" s="103">
        <f>SUM(G13:G18)</f>
        <v>131</v>
      </c>
      <c r="H12" s="141">
        <f ca="1">AVERAGE(H13:H18)</f>
        <v>0.77105263157894732</v>
      </c>
      <c r="I12" s="143">
        <f>AVERAGEA(I13:I18)</f>
        <v>0.5</v>
      </c>
      <c r="J12" s="169"/>
      <c r="K12" s="99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</row>
    <row r="13" spans="1:62">
      <c r="A13" s="98"/>
      <c r="B13" s="109" t="s">
        <v>290</v>
      </c>
      <c r="C13" s="116">
        <v>46146</v>
      </c>
      <c r="D13" s="116">
        <v>46213</v>
      </c>
      <c r="E13" s="106" t="s">
        <v>291</v>
      </c>
      <c r="F13" s="126">
        <v>0.94</v>
      </c>
      <c r="G13" s="107">
        <f>NETWORKDAYS(C13, D13, holiday!$A$2:$A$18)</f>
        <v>47</v>
      </c>
      <c r="H13" s="108">
        <f ca="1">MIN(1, MAX(0, NETWORKDAYS(C13, TODAY(), holiday!$A$2:$A$18) / G13))</f>
        <v>1</v>
      </c>
      <c r="I13" s="108">
        <f>COUNTIFS('baseline v4'!B:B,B13,'baseline v4'!H:H,1)/COUNTIF('baseline v4'!B:B,'master plan v6'!B13)</f>
        <v>1</v>
      </c>
      <c r="J13" s="170" t="str">
        <f t="array" aca="1" ref="J13" ca="1">_xlfn.IFS(AND(H13=1, I13=1), "completed", AND(H13=0, I13=0), "not start yet", TRUE, "in progress")</f>
        <v>completed</v>
      </c>
      <c r="K13" s="99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</row>
    <row r="14" spans="1:62">
      <c r="A14" s="98"/>
      <c r="B14" s="109" t="s">
        <v>292</v>
      </c>
      <c r="C14" s="116">
        <v>46202</v>
      </c>
      <c r="D14" s="116">
        <v>46227</v>
      </c>
      <c r="E14" s="106" t="s">
        <v>293</v>
      </c>
      <c r="F14" s="126">
        <v>1</v>
      </c>
      <c r="G14" s="107">
        <f>NETWORKDAYS(C14, D14, holiday!$A$2:$A$18)</f>
        <v>20</v>
      </c>
      <c r="H14" s="108">
        <f ca="1">MIN(1, MAX(0, NETWORKDAYS(C14, TODAY(), holiday!$A$2:$A$18) / G14))</f>
        <v>1</v>
      </c>
      <c r="I14" s="108">
        <f>COUNTIFS('baseline v4'!B:B,B14,'baseline v4'!H:H,1)/COUNTIF('baseline v4'!B:B,'master plan v6'!B14)</f>
        <v>1</v>
      </c>
      <c r="J14" s="170" t="str">
        <f t="array" aca="1" ref="J14" ca="1">_xlfn.IFS(AND(H14=1, I14=1), "completed", AND(H14=0, I14=0), "not start yet", TRUE, "in progress")</f>
        <v>completed</v>
      </c>
      <c r="K14" s="99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</row>
    <row r="15" spans="1:62">
      <c r="A15" s="98"/>
      <c r="B15" s="109" t="s">
        <v>294</v>
      </c>
      <c r="C15" s="116">
        <v>46216</v>
      </c>
      <c r="D15" s="116">
        <v>46241</v>
      </c>
      <c r="E15" s="106" t="s">
        <v>295</v>
      </c>
      <c r="F15" s="126">
        <v>0.9</v>
      </c>
      <c r="G15" s="107">
        <f>NETWORKDAYS(C15, D15, holiday!$A$2:$A$18)</f>
        <v>18</v>
      </c>
      <c r="H15" s="108">
        <f ca="1">MIN(1, MAX(0, NETWORKDAYS(C15, TODAY(), holiday!$A$2:$A$18) / G15))</f>
        <v>1</v>
      </c>
      <c r="I15" s="108">
        <f>COUNTIFS('baseline v4'!B:B,B15,'baseline v4'!H:H,1)/COUNTIF('baseline v4'!B:B,'master plan v6'!B15)</f>
        <v>1</v>
      </c>
      <c r="J15" s="170" t="str">
        <f t="array" aca="1" ref="J15" ca="1">_xlfn.IFS(AND(H15=1, I15=1), "completed", AND(H15=0, I15=0), "not start yet", TRUE, "in progress")</f>
        <v>completed</v>
      </c>
      <c r="K15" s="99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</row>
    <row r="16" spans="1:62">
      <c r="A16" s="98"/>
      <c r="B16" s="105" t="s">
        <v>296</v>
      </c>
      <c r="C16" s="116">
        <v>46230</v>
      </c>
      <c r="D16" s="116">
        <v>46255</v>
      </c>
      <c r="E16" s="106" t="s">
        <v>297</v>
      </c>
      <c r="F16" s="126">
        <v>0.85</v>
      </c>
      <c r="G16" s="107">
        <f>NETWORKDAYS(C16, D16, holiday!$A$2:$A$18)</f>
        <v>17</v>
      </c>
      <c r="H16" s="108">
        <f ca="1">MIN(1, MAX(0, NETWORKDAYS(C16, TODAY(), holiday!$A$2:$A$18) / G16))</f>
        <v>1</v>
      </c>
      <c r="I16" s="108">
        <f>COUNTIFS('baseline v4'!B:B,B16,'baseline v4'!H:H,1)/COUNTIF('baseline v4'!B:B,'master plan v6'!B16)</f>
        <v>0</v>
      </c>
      <c r="J16" s="170" t="str">
        <f t="array" aca="1" ref="J16" ca="1">_xlfn.IFS(AND(H16=1, I16=1), "completed", AND(H16=0, I16=0), "not start yet", TRUE, "in progress")</f>
        <v>in progress</v>
      </c>
      <c r="K16" s="99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</row>
    <row r="17" spans="1:62">
      <c r="A17" s="98"/>
      <c r="B17" s="109" t="s">
        <v>298</v>
      </c>
      <c r="C17" s="116">
        <v>46244</v>
      </c>
      <c r="D17" s="116">
        <v>46269</v>
      </c>
      <c r="E17" s="106" t="s">
        <v>299</v>
      </c>
      <c r="F17" s="126">
        <v>0.95</v>
      </c>
      <c r="G17" s="107">
        <f>NETWORKDAYS(C17, D17, holiday!$A$2:$A$18)</f>
        <v>19</v>
      </c>
      <c r="H17" s="108">
        <f ca="1">MIN(1, MAX(0, NETWORKDAYS(C17, TODAY(), holiday!$A$2:$A$18) / G17))</f>
        <v>0.52631578947368418</v>
      </c>
      <c r="I17" s="108">
        <f>COUNTIFS('baseline v4'!B:B,B17,'baseline v4'!H:H,1)/COUNTIF('baseline v4'!B:B,'master plan v6'!B17)</f>
        <v>0</v>
      </c>
      <c r="J17" s="170" t="str">
        <f t="array" aca="1" ref="J17" ca="1">_xlfn.IFS(AND(H17=1, I17=1), "completed", AND(H17=0, I17=0), "not start yet", TRUE, "in progress")</f>
        <v>in progress</v>
      </c>
      <c r="K17" s="99"/>
      <c r="L17" s="98"/>
      <c r="M17" s="9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</row>
    <row r="18" spans="1:62">
      <c r="A18" s="118"/>
      <c r="B18" s="136" t="s">
        <v>300</v>
      </c>
      <c r="C18" s="148">
        <v>46258</v>
      </c>
      <c r="D18" s="148">
        <v>46269</v>
      </c>
      <c r="E18" s="137">
        <v>35</v>
      </c>
      <c r="F18" s="138">
        <v>1</v>
      </c>
      <c r="G18" s="139">
        <f>NETWORKDAYS(C18, D18, holiday!$A$2:$A$18)</f>
        <v>10</v>
      </c>
      <c r="H18" s="140">
        <f ca="1">MIN(1, MAX(0, NETWORKDAYS(C18, TODAY(), holiday!$A$2:$A$18) / G18))</f>
        <v>0.1</v>
      </c>
      <c r="I18" s="140">
        <f>COUNTIFS('baseline v4'!B:B,B18,'baseline v4'!H:H,1)/COUNTIF('baseline v4'!B:B,'master plan v6'!B18)</f>
        <v>0</v>
      </c>
      <c r="J18" s="170" t="str">
        <f t="array" aca="1" ref="J18" ca="1">_xlfn.IFS(AND(H18=1, I18=1), "completed", AND(H18=0, I18=0), "not start yet", TRUE, "in progress")</f>
        <v>in progress</v>
      </c>
      <c r="K18" s="99"/>
      <c r="L18" s="99"/>
      <c r="M18" s="99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185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</row>
    <row r="19" spans="1:62">
      <c r="A19" s="173" t="s">
        <v>10</v>
      </c>
      <c r="B19" s="174"/>
      <c r="C19" s="175">
        <f>MIN(C20:D21)</f>
        <v>46272</v>
      </c>
      <c r="D19" s="115">
        <f>MAX(C20:D21)</f>
        <v>46353</v>
      </c>
      <c r="E19" s="176"/>
      <c r="F19" s="176"/>
      <c r="G19" s="103">
        <f>SUM(G20:G21)</f>
        <v>58</v>
      </c>
      <c r="H19" s="141">
        <f ca="1">AVERAGE(H20:H21)</f>
        <v>0</v>
      </c>
      <c r="I19" s="143">
        <f>AVERAGEA(I20:I21)</f>
        <v>0</v>
      </c>
      <c r="J19" s="177"/>
      <c r="K19" s="99"/>
      <c r="L19" s="99"/>
      <c r="M19" s="99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185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19"/>
      <c r="BH19" s="119"/>
      <c r="BI19" s="119"/>
      <c r="BJ19" s="119"/>
    </row>
    <row r="20" spans="1:62">
      <c r="A20" s="131"/>
      <c r="B20" s="178" t="s">
        <v>301</v>
      </c>
      <c r="C20" s="179">
        <v>46272</v>
      </c>
      <c r="D20" s="179">
        <v>46297</v>
      </c>
      <c r="E20" s="137" t="s">
        <v>302</v>
      </c>
      <c r="F20" s="138">
        <v>1</v>
      </c>
      <c r="G20" s="107">
        <f>NETWORKDAYS(C20, D20, holiday!$A$2:$A$18)</f>
        <v>20</v>
      </c>
      <c r="H20" s="108">
        <f ca="1">MIN(1, MAX(0, NETWORKDAYS(C20, TODAY(), holiday!$A$2:$A$18) / G20))</f>
        <v>0</v>
      </c>
      <c r="I20" s="108">
        <f>COUNTIFS('baseline v4'!B:B,B20,'baseline v4'!H:H,1)/COUNTIF('baseline v4'!B:B,'master plan v6'!B20)</f>
        <v>0</v>
      </c>
      <c r="J20" s="170" t="str">
        <f t="array" aca="1" ref="J20" ca="1">_xlfn.IFS(AND(H20=1, I20=1), "completed", AND(H20=0, I20=0), "not start yet", TRUE, "in progress")</f>
        <v>not start yet</v>
      </c>
      <c r="K20" s="99"/>
      <c r="L20" s="99"/>
      <c r="M20" s="99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185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</row>
    <row r="21" spans="1:62">
      <c r="A21" s="131"/>
      <c r="B21" s="178" t="s">
        <v>303</v>
      </c>
      <c r="C21" s="179">
        <v>46300</v>
      </c>
      <c r="D21" s="179">
        <v>46353</v>
      </c>
      <c r="E21" s="137" t="s">
        <v>304</v>
      </c>
      <c r="F21" s="138">
        <v>1</v>
      </c>
      <c r="G21" s="139">
        <f>NETWORKDAYS(C21, D21, holiday!$A$2:$A$18)</f>
        <v>38</v>
      </c>
      <c r="H21" s="108">
        <f ca="1">MIN(1, MAX(0, NETWORKDAYS(C21, TODAY(), holiday!$A$2:$A$18) / G21))</f>
        <v>0</v>
      </c>
      <c r="I21" s="108">
        <f>COUNTIFS('baseline v4'!B:B,B21,'baseline v4'!H:H,1)/COUNTIF('baseline v4'!B:B,'master plan v6'!B21)</f>
        <v>0</v>
      </c>
      <c r="J21" s="170" t="str">
        <f t="array" aca="1" ref="J21" ca="1">_xlfn.IFS(AND(H21=1, I21=1), "completed", AND(H21=0, I21=0), "not start yet", TRUE, "in progress")</f>
        <v>not start yet</v>
      </c>
      <c r="K21" s="135"/>
      <c r="L21" s="119"/>
      <c r="M21" s="119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156"/>
      <c r="AF21" s="156"/>
      <c r="AG21" s="156"/>
      <c r="AH21" s="156"/>
      <c r="AI21" s="186"/>
      <c r="AJ21" s="156"/>
      <c r="AK21" s="156"/>
      <c r="AL21" s="155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</row>
    <row r="22" spans="1:62">
      <c r="A22" s="101" t="s">
        <v>11</v>
      </c>
      <c r="B22" s="110"/>
      <c r="C22" s="115">
        <f>MIN(C23:D24)</f>
        <v>46356</v>
      </c>
      <c r="D22" s="115">
        <f>MAX(C23:D26)</f>
        <v>46381</v>
      </c>
      <c r="E22" s="103"/>
      <c r="F22" s="103"/>
      <c r="G22" s="103">
        <f>SUM(G23:G24)</f>
        <v>19</v>
      </c>
      <c r="H22" s="141">
        <f ca="1">AVERAGE(H23:H24)</f>
        <v>0</v>
      </c>
      <c r="I22" s="143">
        <f>AVERAGEA(I23:I24)</f>
        <v>0</v>
      </c>
      <c r="J22" s="169"/>
      <c r="K22" s="135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56"/>
      <c r="AK22" s="156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98"/>
      <c r="BC22" s="98"/>
      <c r="BD22" s="98"/>
      <c r="BE22" s="98"/>
      <c r="BF22" s="119"/>
      <c r="BG22" s="119"/>
      <c r="BH22" s="119"/>
      <c r="BI22" s="119"/>
      <c r="BJ22" s="119"/>
    </row>
    <row r="23" spans="1:62">
      <c r="A23" s="131"/>
      <c r="B23" s="109" t="s">
        <v>305</v>
      </c>
      <c r="C23" s="148">
        <v>46356</v>
      </c>
      <c r="D23" s="148">
        <v>46367</v>
      </c>
      <c r="E23" s="137">
        <v>42</v>
      </c>
      <c r="F23" s="138">
        <v>1</v>
      </c>
      <c r="G23" s="139">
        <f>NETWORKDAYS(C23, D23, holiday!$A$2:$A$18)</f>
        <v>9</v>
      </c>
      <c r="H23" s="108">
        <f ca="1">MIN(1, MAX(0, NETWORKDAYS(C23, TODAY(), holiday!$A$2:$A$18) / G23))</f>
        <v>0</v>
      </c>
      <c r="I23" s="108">
        <f>COUNTIFS('baseline v4'!B:B,B23,'baseline v4'!H:H,1)/COUNTIF('baseline v4'!B:B,'master plan v6'!B23)</f>
        <v>0</v>
      </c>
      <c r="J23" s="170" t="str">
        <f t="array" aca="1" ref="J23" ca="1">_xlfn.IFS(AND(H23=1, I23=1), "completed", AND(H23=0, I23=0), "not start yet", TRUE, "in progress")</f>
        <v>not start yet</v>
      </c>
      <c r="K23" s="135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98"/>
      <c r="BC23" s="98"/>
      <c r="BD23" s="98"/>
      <c r="BE23" s="98"/>
      <c r="BF23" s="119"/>
      <c r="BG23" s="119"/>
      <c r="BH23" s="119"/>
      <c r="BI23" s="119"/>
      <c r="BJ23" s="119"/>
    </row>
    <row r="24" spans="1:62">
      <c r="A24" s="157"/>
      <c r="B24" s="158" t="s">
        <v>306</v>
      </c>
      <c r="C24" s="159">
        <v>46370</v>
      </c>
      <c r="D24" s="159">
        <v>46381</v>
      </c>
      <c r="E24" s="160">
        <v>43</v>
      </c>
      <c r="F24" s="161">
        <v>1</v>
      </c>
      <c r="G24" s="162">
        <f>NETWORKDAYS(C24, D24, holiday!$A$2:$A$18)</f>
        <v>10</v>
      </c>
      <c r="H24" s="163">
        <f ca="1">MIN(1, MAX(0, NETWORKDAYS(C24, TODAY(), holiday!$A$2:$A$18) / G24))</f>
        <v>0</v>
      </c>
      <c r="I24" s="163">
        <f>COUNTIFS('baseline v4'!B:B,B24,'baseline v4'!H:H,1)/COUNTIF('baseline v4'!B:B,'master plan v6'!B24)</f>
        <v>0</v>
      </c>
      <c r="J24" s="171" t="str">
        <f t="array" aca="1" ref="J24" ca="1">_xlfn.IFS(AND(H24=1, I24=1), "completed", AND(H24=0, I24=0), "not start yet", TRUE, "in progress")</f>
        <v>not start yet</v>
      </c>
      <c r="K24" s="164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5"/>
      <c r="AR24" s="165"/>
      <c r="AS24" s="165"/>
      <c r="AT24" s="165"/>
      <c r="AU24" s="165"/>
      <c r="AV24" s="165"/>
      <c r="AW24" s="165"/>
      <c r="AX24" s="165"/>
      <c r="AY24" s="165"/>
      <c r="AZ24" s="165"/>
      <c r="BA24" s="165"/>
      <c r="BB24" s="166"/>
      <c r="BC24" s="166"/>
      <c r="BD24" s="166"/>
      <c r="BE24" s="166"/>
      <c r="BF24" s="165"/>
      <c r="BG24" s="165"/>
      <c r="BH24" s="165"/>
      <c r="BI24" s="165"/>
      <c r="BJ24" s="165"/>
    </row>
    <row r="26" spans="1:62">
      <c r="K26" s="97"/>
    </row>
    <row r="27" spans="1:62">
      <c r="A27" s="188" t="s">
        <v>307</v>
      </c>
    </row>
    <row r="28" spans="1:62">
      <c r="A28" s="187" t="s">
        <v>308</v>
      </c>
    </row>
    <row r="29" spans="1:62">
      <c r="A29" s="187" t="s">
        <v>309</v>
      </c>
    </row>
    <row r="30" spans="1:62">
      <c r="A30" s="187" t="s">
        <v>310</v>
      </c>
    </row>
  </sheetData>
  <mergeCells count="38">
    <mergeCell ref="L6:M6"/>
    <mergeCell ref="AV6:AW6"/>
    <mergeCell ref="T6:U6"/>
    <mergeCell ref="BH6:BI6"/>
    <mergeCell ref="N6:O6"/>
    <mergeCell ref="Z6:AA6"/>
    <mergeCell ref="AB6:AC6"/>
    <mergeCell ref="K2:BJ2"/>
    <mergeCell ref="S3:W3"/>
    <mergeCell ref="AO3:AS3"/>
    <mergeCell ref="K3:N3"/>
    <mergeCell ref="P6:Q6"/>
    <mergeCell ref="AB3:AE3"/>
    <mergeCell ref="R6:S6"/>
    <mergeCell ref="O3:R3"/>
    <mergeCell ref="AD6:AE6"/>
    <mergeCell ref="AF6:AG6"/>
    <mergeCell ref="BG3:BJ3"/>
    <mergeCell ref="V6:W6"/>
    <mergeCell ref="X6:Y6"/>
    <mergeCell ref="AP6:AQ6"/>
    <mergeCell ref="AT3:AW3"/>
    <mergeCell ref="AR6:AS6"/>
    <mergeCell ref="X3:AA3"/>
    <mergeCell ref="AX3:BA3"/>
    <mergeCell ref="AL6:AM6"/>
    <mergeCell ref="BB3:BF3"/>
    <mergeCell ref="AX6:AY6"/>
    <mergeCell ref="AZ6:BA6"/>
    <mergeCell ref="BF6:BG6"/>
    <mergeCell ref="AK3:AN3"/>
    <mergeCell ref="AJ6:AK6"/>
    <mergeCell ref="BB6:BC6"/>
    <mergeCell ref="BD6:BE6"/>
    <mergeCell ref="AF3:AJ3"/>
    <mergeCell ref="AN6:AO6"/>
    <mergeCell ref="AT6:AU6"/>
    <mergeCell ref="AH6:AI6"/>
  </mergeCells>
  <conditionalFormatting sqref="H8:H24">
    <cfRule type="dataBar" priority="11">
      <dataBar>
        <cfvo type="min"/>
        <cfvo type="max"/>
        <color rgb="FF63C384"/>
      </dataBar>
    </cfRule>
  </conditionalFormatting>
  <conditionalFormatting sqref="I7:I24">
    <cfRule type="dataBar" priority="13">
      <dataBar>
        <cfvo type="min"/>
        <cfvo type="max"/>
        <color rgb="FF63C384"/>
      </dataBar>
    </cfRule>
  </conditionalFormatting>
  <conditionalFormatting sqref="K4:BJ4">
    <cfRule type="expression" dxfId="11" priority="4">
      <formula>AND(K$4 &lt;= TODAY(), TODAY() &lt; K$4 + 7)</formula>
    </cfRule>
  </conditionalFormatting>
  <conditionalFormatting sqref="K8:BJ8 K12:BJ12 K19:M19 AJ19:BJ19 K22:BJ22">
    <cfRule type="expression" dxfId="10" priority="6">
      <formula>AND(K$4&gt;=$C8, K$4&lt;=$D8)</formula>
    </cfRule>
  </conditionalFormatting>
  <conditionalFormatting sqref="K8:BJ24">
    <cfRule type="expression" dxfId="9" priority="7">
      <formula>AND(K$4&gt;=$C8, K$4&lt;=($C8+($D8-$C8)*$I8-1))</formula>
    </cfRule>
    <cfRule type="expression" dxfId="8" priority="10">
      <formula>AND(K$4&gt;=$C8, K$4&lt;=$D8)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27"/>
  <sheetViews>
    <sheetView showGridLines="0" zoomScaleNormal="100" workbookViewId="0"/>
  </sheetViews>
  <sheetFormatPr defaultRowHeight="14.5"/>
  <cols>
    <col min="1" max="1" width="15.1796875" customWidth="1"/>
    <col min="2" max="2" width="33" customWidth="1"/>
    <col min="3" max="3" width="14.7265625" style="10" customWidth="1"/>
    <col min="4" max="4" width="13.26953125" style="10" customWidth="1"/>
    <col min="5" max="5" width="9.1796875" style="68" customWidth="1"/>
    <col min="6" max="6" width="11.26953125" style="68" customWidth="1"/>
    <col min="7" max="7" width="12.54296875" style="68" customWidth="1"/>
    <col min="8" max="8" width="10.26953125" customWidth="1"/>
    <col min="9" max="9" width="9.54296875" customWidth="1"/>
    <col min="10" max="10" width="12.26953125" customWidth="1"/>
    <col min="11" max="12" width="5.26953125" bestFit="1" customWidth="1"/>
    <col min="13" max="13" width="4.1796875" bestFit="1" customWidth="1"/>
    <col min="14" max="14" width="5.26953125" bestFit="1" customWidth="1"/>
    <col min="15" max="15" width="4.26953125" bestFit="1" customWidth="1"/>
    <col min="16" max="16" width="5.26953125" bestFit="1" customWidth="1"/>
    <col min="17" max="17" width="4.1796875" bestFit="1" customWidth="1"/>
    <col min="18" max="18" width="5.26953125" bestFit="1" customWidth="1"/>
    <col min="19" max="19" width="4.7265625" bestFit="1" customWidth="1"/>
    <col min="20" max="62" width="5.26953125" bestFit="1" customWidth="1"/>
  </cols>
  <sheetData>
    <row r="1" spans="1:62">
      <c r="A1" s="66" t="s">
        <v>152</v>
      </c>
      <c r="B1" s="13">
        <f ca="1">AVERAGE(H:H)</f>
        <v>0.85430622009569379</v>
      </c>
      <c r="C1" s="67" t="s">
        <v>203</v>
      </c>
      <c r="D1" s="69">
        <v>46027</v>
      </c>
      <c r="F1" s="122" t="s">
        <v>2</v>
      </c>
      <c r="G1" s="123">
        <f>D2</f>
        <v>46269</v>
      </c>
    </row>
    <row r="2" spans="1:62">
      <c r="A2" s="66" t="s">
        <v>151</v>
      </c>
      <c r="B2" s="13">
        <f>AVERAGE(I:I)</f>
        <v>0.68181818181818177</v>
      </c>
      <c r="C2" s="67" t="s">
        <v>204</v>
      </c>
      <c r="D2" s="114">
        <f>MAX(C8:D18)</f>
        <v>46269</v>
      </c>
      <c r="K2" s="383" t="s">
        <v>77</v>
      </c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1"/>
    </row>
    <row r="3" spans="1:62" ht="16.5" customHeight="1">
      <c r="C3" s="124" t="s">
        <v>311</v>
      </c>
      <c r="D3" s="73">
        <f>'baseline v4'!N47+'baseline v4'!N49</f>
        <v>0</v>
      </c>
      <c r="K3" s="382" t="s">
        <v>79</v>
      </c>
      <c r="L3" s="380"/>
      <c r="M3" s="380"/>
      <c r="N3" s="381"/>
      <c r="O3" s="382" t="s">
        <v>80</v>
      </c>
      <c r="P3" s="380"/>
      <c r="Q3" s="380"/>
      <c r="R3" s="381"/>
      <c r="S3" s="382" t="s">
        <v>81</v>
      </c>
      <c r="T3" s="380"/>
      <c r="U3" s="380"/>
      <c r="V3" s="380"/>
      <c r="W3" s="381"/>
      <c r="X3" s="382" t="s">
        <v>82</v>
      </c>
      <c r="Y3" s="380"/>
      <c r="Z3" s="380"/>
      <c r="AA3" s="381"/>
      <c r="AB3" s="382" t="s">
        <v>83</v>
      </c>
      <c r="AC3" s="380"/>
      <c r="AD3" s="380"/>
      <c r="AE3" s="381"/>
      <c r="AF3" s="382" t="s">
        <v>84</v>
      </c>
      <c r="AG3" s="380"/>
      <c r="AH3" s="380"/>
      <c r="AI3" s="380"/>
      <c r="AJ3" s="381"/>
      <c r="AK3" s="382" t="s">
        <v>85</v>
      </c>
      <c r="AL3" s="380"/>
      <c r="AM3" s="380"/>
      <c r="AN3" s="381"/>
      <c r="AO3" s="382" t="s">
        <v>86</v>
      </c>
      <c r="AP3" s="380"/>
      <c r="AQ3" s="380"/>
      <c r="AR3" s="380"/>
      <c r="AS3" s="381"/>
      <c r="AT3" s="382" t="s">
        <v>87</v>
      </c>
      <c r="AU3" s="380"/>
      <c r="AV3" s="380"/>
      <c r="AW3" s="381"/>
      <c r="AX3" s="382" t="s">
        <v>88</v>
      </c>
      <c r="AY3" s="380"/>
      <c r="AZ3" s="380"/>
      <c r="BA3" s="381"/>
      <c r="BB3" s="382" t="s">
        <v>89</v>
      </c>
      <c r="BC3" s="380"/>
      <c r="BD3" s="380"/>
      <c r="BE3" s="380"/>
      <c r="BF3" s="381"/>
      <c r="BG3" s="382" t="s">
        <v>90</v>
      </c>
      <c r="BH3" s="380"/>
      <c r="BI3" s="380"/>
      <c r="BJ3" s="381"/>
    </row>
    <row r="4" spans="1:62" s="73" customFormat="1">
      <c r="C4" s="125"/>
      <c r="E4" s="75"/>
      <c r="F4" s="75"/>
      <c r="G4" s="75"/>
      <c r="K4" s="111">
        <f>D1</f>
        <v>46027</v>
      </c>
      <c r="L4" s="111">
        <f t="shared" ref="L4:AQ4" si="0">K4+7</f>
        <v>46034</v>
      </c>
      <c r="M4" s="111">
        <f t="shared" si="0"/>
        <v>46041</v>
      </c>
      <c r="N4" s="111">
        <f t="shared" si="0"/>
        <v>46048</v>
      </c>
      <c r="O4" s="111">
        <f t="shared" si="0"/>
        <v>46055</v>
      </c>
      <c r="P4" s="111">
        <f t="shared" si="0"/>
        <v>46062</v>
      </c>
      <c r="Q4" s="111">
        <f t="shared" si="0"/>
        <v>46069</v>
      </c>
      <c r="R4" s="111">
        <f t="shared" si="0"/>
        <v>46076</v>
      </c>
      <c r="S4" s="111">
        <f t="shared" si="0"/>
        <v>46083</v>
      </c>
      <c r="T4" s="111">
        <f t="shared" si="0"/>
        <v>46090</v>
      </c>
      <c r="U4" s="111">
        <f t="shared" si="0"/>
        <v>46097</v>
      </c>
      <c r="V4" s="111">
        <f t="shared" si="0"/>
        <v>46104</v>
      </c>
      <c r="W4" s="111">
        <f t="shared" si="0"/>
        <v>46111</v>
      </c>
      <c r="X4" s="111">
        <f t="shared" si="0"/>
        <v>46118</v>
      </c>
      <c r="Y4" s="111">
        <f t="shared" si="0"/>
        <v>46125</v>
      </c>
      <c r="Z4" s="111">
        <f t="shared" si="0"/>
        <v>46132</v>
      </c>
      <c r="AA4" s="111">
        <f t="shared" si="0"/>
        <v>46139</v>
      </c>
      <c r="AB4" s="111">
        <f t="shared" si="0"/>
        <v>46146</v>
      </c>
      <c r="AC4" s="111">
        <f t="shared" si="0"/>
        <v>46153</v>
      </c>
      <c r="AD4" s="111">
        <f t="shared" si="0"/>
        <v>46160</v>
      </c>
      <c r="AE4" s="111">
        <f t="shared" si="0"/>
        <v>46167</v>
      </c>
      <c r="AF4" s="111">
        <f t="shared" si="0"/>
        <v>46174</v>
      </c>
      <c r="AG4" s="111">
        <f t="shared" si="0"/>
        <v>46181</v>
      </c>
      <c r="AH4" s="111">
        <f t="shared" si="0"/>
        <v>46188</v>
      </c>
      <c r="AI4" s="111">
        <f t="shared" si="0"/>
        <v>46195</v>
      </c>
      <c r="AJ4" s="111">
        <f t="shared" si="0"/>
        <v>46202</v>
      </c>
      <c r="AK4" s="111">
        <f t="shared" si="0"/>
        <v>46209</v>
      </c>
      <c r="AL4" s="111">
        <f t="shared" si="0"/>
        <v>46216</v>
      </c>
      <c r="AM4" s="111">
        <f t="shared" si="0"/>
        <v>46223</v>
      </c>
      <c r="AN4" s="111">
        <f t="shared" si="0"/>
        <v>46230</v>
      </c>
      <c r="AO4" s="111">
        <f t="shared" si="0"/>
        <v>46237</v>
      </c>
      <c r="AP4" s="111">
        <f t="shared" si="0"/>
        <v>46244</v>
      </c>
      <c r="AQ4" s="111">
        <f t="shared" si="0"/>
        <v>46251</v>
      </c>
      <c r="AR4" s="111">
        <f t="shared" ref="AR4:BJ4" si="1">AQ4+7</f>
        <v>46258</v>
      </c>
      <c r="AS4" s="111">
        <f t="shared" si="1"/>
        <v>46265</v>
      </c>
      <c r="AT4" s="111">
        <f t="shared" si="1"/>
        <v>46272</v>
      </c>
      <c r="AU4" s="111">
        <f t="shared" si="1"/>
        <v>46279</v>
      </c>
      <c r="AV4" s="111">
        <f t="shared" si="1"/>
        <v>46286</v>
      </c>
      <c r="AW4" s="111">
        <f t="shared" si="1"/>
        <v>46293</v>
      </c>
      <c r="AX4" s="111">
        <f t="shared" si="1"/>
        <v>46300</v>
      </c>
      <c r="AY4" s="111">
        <f t="shared" si="1"/>
        <v>46307</v>
      </c>
      <c r="AZ4" s="111">
        <f t="shared" si="1"/>
        <v>46314</v>
      </c>
      <c r="BA4" s="111">
        <f t="shared" si="1"/>
        <v>46321</v>
      </c>
      <c r="BB4" s="111">
        <f t="shared" si="1"/>
        <v>46328</v>
      </c>
      <c r="BC4" s="111">
        <f t="shared" si="1"/>
        <v>46335</v>
      </c>
      <c r="BD4" s="111">
        <f t="shared" si="1"/>
        <v>46342</v>
      </c>
      <c r="BE4" s="111">
        <f t="shared" si="1"/>
        <v>46349</v>
      </c>
      <c r="BF4" s="111">
        <f t="shared" si="1"/>
        <v>46356</v>
      </c>
      <c r="BG4" s="111">
        <f t="shared" si="1"/>
        <v>46363</v>
      </c>
      <c r="BH4" s="111">
        <f t="shared" si="1"/>
        <v>46370</v>
      </c>
      <c r="BI4" s="111">
        <f t="shared" si="1"/>
        <v>46377</v>
      </c>
      <c r="BJ4" s="111">
        <f t="shared" si="1"/>
        <v>46384</v>
      </c>
    </row>
    <row r="5" spans="1:62">
      <c r="C5" s="125"/>
      <c r="D5" s="73"/>
      <c r="K5" s="112" t="s">
        <v>205</v>
      </c>
      <c r="L5" s="112" t="s">
        <v>206</v>
      </c>
      <c r="M5" s="112" t="s">
        <v>207</v>
      </c>
      <c r="N5" s="112" t="s">
        <v>208</v>
      </c>
      <c r="O5" s="112" t="s">
        <v>209</v>
      </c>
      <c r="P5" s="112" t="s">
        <v>210</v>
      </c>
      <c r="Q5" s="112" t="s">
        <v>211</v>
      </c>
      <c r="R5" s="112" t="s">
        <v>212</v>
      </c>
      <c r="S5" s="112" t="s">
        <v>213</v>
      </c>
      <c r="T5" s="112" t="s">
        <v>214</v>
      </c>
      <c r="U5" s="112" t="s">
        <v>215</v>
      </c>
      <c r="V5" s="112" t="s">
        <v>216</v>
      </c>
      <c r="W5" s="112" t="s">
        <v>217</v>
      </c>
      <c r="X5" s="112" t="s">
        <v>218</v>
      </c>
      <c r="Y5" s="112" t="s">
        <v>219</v>
      </c>
      <c r="Z5" s="112" t="s">
        <v>220</v>
      </c>
      <c r="AA5" s="112" t="s">
        <v>221</v>
      </c>
      <c r="AB5" s="112" t="s">
        <v>222</v>
      </c>
      <c r="AC5" s="112" t="s">
        <v>223</v>
      </c>
      <c r="AD5" s="112" t="s">
        <v>224</v>
      </c>
      <c r="AE5" s="112" t="s">
        <v>225</v>
      </c>
      <c r="AF5" s="112" t="s">
        <v>226</v>
      </c>
      <c r="AG5" s="112" t="s">
        <v>227</v>
      </c>
      <c r="AH5" s="112" t="s">
        <v>228</v>
      </c>
      <c r="AI5" s="112" t="s">
        <v>229</v>
      </c>
      <c r="AJ5" s="112" t="s">
        <v>230</v>
      </c>
      <c r="AK5" s="112" t="s">
        <v>231</v>
      </c>
      <c r="AL5" s="112" t="s">
        <v>232</v>
      </c>
      <c r="AM5" s="112" t="s">
        <v>233</v>
      </c>
      <c r="AN5" s="112" t="s">
        <v>234</v>
      </c>
      <c r="AO5" s="112" t="s">
        <v>235</v>
      </c>
      <c r="AP5" s="112" t="s">
        <v>236</v>
      </c>
      <c r="AQ5" s="112" t="s">
        <v>237</v>
      </c>
      <c r="AR5" s="112" t="s">
        <v>238</v>
      </c>
      <c r="AS5" s="112" t="s">
        <v>239</v>
      </c>
      <c r="AT5" s="112" t="s">
        <v>240</v>
      </c>
      <c r="AU5" s="112" t="s">
        <v>241</v>
      </c>
      <c r="AV5" s="112" t="s">
        <v>242</v>
      </c>
      <c r="AW5" s="112" t="s">
        <v>243</v>
      </c>
      <c r="AX5" s="112" t="s">
        <v>244</v>
      </c>
      <c r="AY5" s="112" t="s">
        <v>245</v>
      </c>
      <c r="AZ5" s="112" t="s">
        <v>246</v>
      </c>
      <c r="BA5" s="112" t="s">
        <v>247</v>
      </c>
      <c r="BB5" s="112" t="s">
        <v>248</v>
      </c>
      <c r="BC5" s="112" t="s">
        <v>249</v>
      </c>
      <c r="BD5" s="112" t="s">
        <v>250</v>
      </c>
      <c r="BE5" s="112" t="s">
        <v>251</v>
      </c>
      <c r="BF5" s="112" t="s">
        <v>252</v>
      </c>
      <c r="BG5" s="112" t="s">
        <v>253</v>
      </c>
      <c r="BH5" s="112" t="s">
        <v>254</v>
      </c>
      <c r="BI5" s="112" t="s">
        <v>255</v>
      </c>
      <c r="BJ5" s="112" t="s">
        <v>256</v>
      </c>
    </row>
    <row r="6" spans="1:62">
      <c r="K6" s="113" t="s">
        <v>172</v>
      </c>
      <c r="L6" s="383" t="s">
        <v>173</v>
      </c>
      <c r="M6" s="381"/>
      <c r="N6" s="383" t="s">
        <v>174</v>
      </c>
      <c r="O6" s="381"/>
      <c r="P6" s="383" t="s">
        <v>175</v>
      </c>
      <c r="Q6" s="381"/>
      <c r="R6" s="383" t="s">
        <v>176</v>
      </c>
      <c r="S6" s="381"/>
      <c r="T6" s="383" t="s">
        <v>177</v>
      </c>
      <c r="U6" s="381"/>
      <c r="V6" s="383" t="s">
        <v>178</v>
      </c>
      <c r="W6" s="381"/>
      <c r="X6" s="383" t="s">
        <v>179</v>
      </c>
      <c r="Y6" s="381"/>
      <c r="Z6" s="383" t="s">
        <v>180</v>
      </c>
      <c r="AA6" s="381"/>
      <c r="AB6" s="383" t="s">
        <v>181</v>
      </c>
      <c r="AC6" s="381"/>
      <c r="AD6" s="383" t="s">
        <v>182</v>
      </c>
      <c r="AE6" s="381"/>
      <c r="AF6" s="383" t="s">
        <v>183</v>
      </c>
      <c r="AG6" s="381"/>
      <c r="AH6" s="383" t="s">
        <v>184</v>
      </c>
      <c r="AI6" s="381"/>
      <c r="AJ6" s="383" t="s">
        <v>185</v>
      </c>
      <c r="AK6" s="381"/>
      <c r="AL6" s="383" t="s">
        <v>186</v>
      </c>
      <c r="AM6" s="381"/>
      <c r="AN6" s="383" t="s">
        <v>187</v>
      </c>
      <c r="AO6" s="381"/>
      <c r="AP6" s="383" t="s">
        <v>188</v>
      </c>
      <c r="AQ6" s="381"/>
      <c r="AR6" s="383" t="s">
        <v>189</v>
      </c>
      <c r="AS6" s="381"/>
      <c r="AT6" s="383" t="s">
        <v>190</v>
      </c>
      <c r="AU6" s="381"/>
      <c r="AV6" s="383" t="s">
        <v>191</v>
      </c>
      <c r="AW6" s="381"/>
      <c r="AX6" s="383" t="s">
        <v>192</v>
      </c>
      <c r="AY6" s="381"/>
      <c r="AZ6" s="383" t="s">
        <v>193</v>
      </c>
      <c r="BA6" s="381"/>
      <c r="BB6" s="383" t="s">
        <v>194</v>
      </c>
      <c r="BC6" s="381"/>
      <c r="BD6" s="383" t="s">
        <v>195</v>
      </c>
      <c r="BE6" s="381"/>
      <c r="BF6" s="383" t="s">
        <v>196</v>
      </c>
      <c r="BG6" s="381"/>
      <c r="BH6" s="383" t="s">
        <v>197</v>
      </c>
      <c r="BI6" s="381"/>
      <c r="BJ6" s="147" t="s">
        <v>260</v>
      </c>
    </row>
    <row r="7" spans="1:62">
      <c r="A7" s="100" t="s">
        <v>1</v>
      </c>
      <c r="B7" s="100" t="s">
        <v>257</v>
      </c>
      <c r="C7" s="100" t="s">
        <v>155</v>
      </c>
      <c r="D7" s="100" t="s">
        <v>156</v>
      </c>
      <c r="E7" s="100" t="s">
        <v>15</v>
      </c>
      <c r="F7" s="100" t="s">
        <v>285</v>
      </c>
      <c r="G7" s="100" t="s">
        <v>258</v>
      </c>
      <c r="H7" s="100" t="s">
        <v>158</v>
      </c>
      <c r="I7" s="100" t="s">
        <v>159</v>
      </c>
      <c r="J7" s="100" t="s">
        <v>259</v>
      </c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</row>
    <row r="8" spans="1:62">
      <c r="A8" s="101" t="s">
        <v>286</v>
      </c>
      <c r="B8" s="102" t="s">
        <v>287</v>
      </c>
      <c r="C8" s="115">
        <f>MIN(C9:D11)</f>
        <v>46027</v>
      </c>
      <c r="D8" s="115">
        <f>MAX(C9:D11)</f>
        <v>46157</v>
      </c>
      <c r="E8" s="103"/>
      <c r="F8" s="103"/>
      <c r="G8" s="103"/>
      <c r="H8" s="141">
        <f ca="1">AVERAGE(H9:H11)</f>
        <v>1</v>
      </c>
      <c r="I8" s="142">
        <f>AVERAGE(I9:I11)</f>
        <v>1</v>
      </c>
      <c r="J8" s="104"/>
      <c r="K8" s="99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</row>
    <row r="9" spans="1:62">
      <c r="A9" s="98"/>
      <c r="B9" s="105" t="s">
        <v>288</v>
      </c>
      <c r="C9" s="116">
        <v>46027</v>
      </c>
      <c r="D9" s="116">
        <v>46045</v>
      </c>
      <c r="E9" s="106" t="s">
        <v>262</v>
      </c>
      <c r="F9" s="126">
        <v>0.75</v>
      </c>
      <c r="G9" s="107">
        <f>NETWORKDAYS(C9, D9, holiday!$A$2:$A$18)</f>
        <v>15</v>
      </c>
      <c r="H9" s="108">
        <f ca="1">MIN(1, MAX(0, NETWORKDAYS(C9, TODAY(), holiday!$A$2:$A$18) / G9))</f>
        <v>1</v>
      </c>
      <c r="I9" s="108">
        <f>COUNTIFS('baseline v4'!B:B,B9,'baseline v4'!H:H,1)/COUNTIF('baseline v4'!B:B,'master plan bk1'!B9)</f>
        <v>1</v>
      </c>
      <c r="J9" s="108" t="s">
        <v>263</v>
      </c>
      <c r="K9" s="99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</row>
    <row r="10" spans="1:62">
      <c r="A10" s="98"/>
      <c r="B10" s="105" t="s">
        <v>163</v>
      </c>
      <c r="C10" s="116">
        <v>46048</v>
      </c>
      <c r="D10" s="116">
        <v>46157</v>
      </c>
      <c r="E10" s="106" t="s">
        <v>289</v>
      </c>
      <c r="F10" s="126">
        <v>0.91</v>
      </c>
      <c r="G10" s="107">
        <f>NETWORKDAYS(C10, D10, holiday!$A$2:$A$18)</f>
        <v>73</v>
      </c>
      <c r="H10" s="108">
        <f ca="1">MIN(1, MAX(0, NETWORKDAYS(C10, TODAY(), holiday!$A$2:$A$18) / G10))</f>
        <v>1</v>
      </c>
      <c r="I10" s="108">
        <f>COUNTIFS('baseline v4'!B:B,B10,'baseline v4'!H:H,1)/COUNTIF('baseline v4'!B:B,'master plan bk1'!B10)</f>
        <v>1</v>
      </c>
      <c r="J10" s="108" t="s">
        <v>263</v>
      </c>
      <c r="K10" s="99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</row>
    <row r="11" spans="1:62">
      <c r="A11" s="98"/>
      <c r="B11" s="105" t="s">
        <v>166</v>
      </c>
      <c r="C11" s="116">
        <v>46076</v>
      </c>
      <c r="D11" s="116">
        <v>46087</v>
      </c>
      <c r="E11" s="106">
        <v>22</v>
      </c>
      <c r="F11" s="126">
        <v>0.9</v>
      </c>
      <c r="G11" s="107">
        <f>NETWORKDAYS(C11, D11, holiday!$A$2:$A$18)</f>
        <v>9</v>
      </c>
      <c r="H11" s="108">
        <f ca="1">MIN(1, MAX(0, NETWORKDAYS(C11, TODAY(), holiday!$A$2:$A$18) / G11))</f>
        <v>1</v>
      </c>
      <c r="I11" s="108">
        <f>COUNTIFS('baseline v4'!B:B,B11,'baseline v4'!H:H,1)/COUNTIF('baseline v4'!B:B,'master plan bk1'!B11)</f>
        <v>1</v>
      </c>
      <c r="J11" s="108" t="s">
        <v>263</v>
      </c>
      <c r="K11" s="99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</row>
    <row r="12" spans="1:62">
      <c r="A12" s="101" t="s">
        <v>167</v>
      </c>
      <c r="B12" s="110"/>
      <c r="C12" s="115">
        <f>MIN(C13:D18)</f>
        <v>46146</v>
      </c>
      <c r="D12" s="115">
        <f>MAX(C13:D18)</f>
        <v>46269</v>
      </c>
      <c r="E12" s="103"/>
      <c r="F12" s="103"/>
      <c r="G12" s="103"/>
      <c r="H12" s="141">
        <f ca="1">AVERAGE(H13:H18)</f>
        <v>0.77105263157894732</v>
      </c>
      <c r="I12" s="143">
        <f>AVERAGEA(I13:I18)</f>
        <v>0.5</v>
      </c>
      <c r="J12" s="104"/>
      <c r="K12" s="99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</row>
    <row r="13" spans="1:62">
      <c r="A13" s="98"/>
      <c r="B13" s="109" t="s">
        <v>290</v>
      </c>
      <c r="C13" s="116">
        <v>46146</v>
      </c>
      <c r="D13" s="116">
        <v>46213</v>
      </c>
      <c r="E13" s="106" t="s">
        <v>291</v>
      </c>
      <c r="F13" s="126">
        <v>0.94</v>
      </c>
      <c r="G13" s="107">
        <f>NETWORKDAYS(C13, D13, holiday!$A$2:$A$18)</f>
        <v>47</v>
      </c>
      <c r="H13" s="108">
        <f ca="1">MIN(1, MAX(0, NETWORKDAYS(C13, TODAY(), holiday!$A$2:$A$18) / G13))</f>
        <v>1</v>
      </c>
      <c r="I13" s="108">
        <f>COUNTIFS('baseline v4'!B:B,B13,'baseline v4'!H:H,1)/COUNTIF('baseline v4'!B:B,'master plan bk1'!B13)</f>
        <v>1</v>
      </c>
      <c r="J13" s="108" t="s">
        <v>263</v>
      </c>
      <c r="K13" s="99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</row>
    <row r="14" spans="1:62">
      <c r="A14" s="98"/>
      <c r="B14" s="109" t="s">
        <v>292</v>
      </c>
      <c r="C14" s="116">
        <v>46202</v>
      </c>
      <c r="D14" s="116">
        <v>46227</v>
      </c>
      <c r="E14" s="106" t="s">
        <v>293</v>
      </c>
      <c r="F14" s="126">
        <v>1</v>
      </c>
      <c r="G14" s="107">
        <f>NETWORKDAYS(C14, D14, holiday!$A$2:$A$18)</f>
        <v>20</v>
      </c>
      <c r="H14" s="108">
        <f ca="1">MIN(1, MAX(0, NETWORKDAYS(C14, TODAY(), holiday!$A$2:$A$18) / G14))</f>
        <v>1</v>
      </c>
      <c r="I14" s="108">
        <f>COUNTIFS('baseline v4'!B:B,B14,'baseline v4'!H:H,1)/COUNTIF('baseline v4'!B:B,'master plan bk1'!B14)</f>
        <v>1</v>
      </c>
      <c r="J14" s="108" t="s">
        <v>272</v>
      </c>
      <c r="K14" s="99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</row>
    <row r="15" spans="1:62">
      <c r="A15" s="98"/>
      <c r="B15" s="109" t="s">
        <v>294</v>
      </c>
      <c r="C15" s="116">
        <v>46216</v>
      </c>
      <c r="D15" s="116">
        <v>46241</v>
      </c>
      <c r="E15" s="106" t="s">
        <v>295</v>
      </c>
      <c r="F15" s="126">
        <v>0.9</v>
      </c>
      <c r="G15" s="107">
        <f>NETWORKDAYS(C15, D15, holiday!$A$2:$A$18)</f>
        <v>18</v>
      </c>
      <c r="H15" s="108">
        <f ca="1">MIN(1, MAX(0, NETWORKDAYS(C15, TODAY(), holiday!$A$2:$A$18) / G15))</f>
        <v>1</v>
      </c>
      <c r="I15" s="108">
        <f>COUNTIFS('baseline v4'!B:B,B15,'baseline v4'!H:H,1)/COUNTIF('baseline v4'!B:B,'master plan bk1'!B15)</f>
        <v>1</v>
      </c>
      <c r="J15" s="108" t="s">
        <v>272</v>
      </c>
      <c r="K15" s="99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</row>
    <row r="16" spans="1:62">
      <c r="A16" s="98"/>
      <c r="B16" s="105" t="s">
        <v>296</v>
      </c>
      <c r="C16" s="116">
        <v>46230</v>
      </c>
      <c r="D16" s="116">
        <v>46255</v>
      </c>
      <c r="E16" s="106" t="s">
        <v>297</v>
      </c>
      <c r="F16" s="126">
        <v>0.85</v>
      </c>
      <c r="G16" s="107">
        <f>NETWORKDAYS(C16, D16, holiday!$A$2:$A$18)</f>
        <v>17</v>
      </c>
      <c r="H16" s="108">
        <f ca="1">MIN(1, MAX(0, NETWORKDAYS(C16, TODAY(), holiday!$A$2:$A$18) / G16))</f>
        <v>1</v>
      </c>
      <c r="I16" s="108">
        <f>COUNTIFS('baseline v4'!B:B,B16,'baseline v4'!H:H,1)/COUNTIF('baseline v4'!B:B,'master plan bk1'!B16)</f>
        <v>0</v>
      </c>
      <c r="J16" s="108" t="s">
        <v>272</v>
      </c>
      <c r="K16" s="99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</row>
    <row r="17" spans="1:62">
      <c r="A17" s="98"/>
      <c r="B17" s="109" t="s">
        <v>298</v>
      </c>
      <c r="C17" s="116">
        <v>46244</v>
      </c>
      <c r="D17" s="116">
        <v>46269</v>
      </c>
      <c r="E17" s="106" t="s">
        <v>299</v>
      </c>
      <c r="F17" s="126">
        <v>0.95</v>
      </c>
      <c r="G17" s="107">
        <f>NETWORKDAYS(C17, D17, holiday!$A$2:$A$18)</f>
        <v>19</v>
      </c>
      <c r="H17" s="108">
        <f ca="1">MIN(1, MAX(0, NETWORKDAYS(C17, TODAY(), holiday!$A$2:$A$18) / G17))</f>
        <v>0.52631578947368418</v>
      </c>
      <c r="I17" s="108">
        <f>COUNTIFS('baseline v4'!B:B,B17,'baseline v4'!H:H,1)/COUNTIF('baseline v4'!B:B,'master plan bk1'!B17)</f>
        <v>0</v>
      </c>
      <c r="J17" s="108" t="s">
        <v>272</v>
      </c>
      <c r="K17" s="99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</row>
    <row r="18" spans="1:62">
      <c r="A18" s="118"/>
      <c r="B18" s="136" t="s">
        <v>300</v>
      </c>
      <c r="C18" s="148">
        <v>46258</v>
      </c>
      <c r="D18" s="148">
        <v>46269</v>
      </c>
      <c r="E18" s="137">
        <v>35</v>
      </c>
      <c r="F18" s="138">
        <v>1</v>
      </c>
      <c r="G18" s="139">
        <f>NETWORKDAYS(C18, D18, holiday!$A$2:$A$18)</f>
        <v>10</v>
      </c>
      <c r="H18" s="140">
        <f ca="1">MIN(1, MAX(0, NETWORKDAYS(C18, TODAY(), holiday!$A$2:$A$18) / G18))</f>
        <v>0.1</v>
      </c>
      <c r="I18" s="140">
        <f>COUNTIFS('baseline v4'!B:B,B18,'baseline v4'!H:H,1)/COUNTIF('baseline v4'!B:B,'master plan bk1'!B18)</f>
        <v>0</v>
      </c>
      <c r="J18" s="140" t="s">
        <v>272</v>
      </c>
      <c r="K18" s="117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</row>
    <row r="19" spans="1:62">
      <c r="A19" s="127" t="s">
        <v>10</v>
      </c>
      <c r="B19" s="127"/>
      <c r="C19" s="128">
        <f>MIN(C20:D26)</f>
        <v>0</v>
      </c>
      <c r="D19" s="128">
        <f>MAX(C20:D26)</f>
        <v>0</v>
      </c>
      <c r="E19" s="129"/>
      <c r="F19" s="129"/>
      <c r="G19" s="129"/>
      <c r="H19" s="129"/>
      <c r="I19" s="129"/>
      <c r="J19" s="130"/>
      <c r="K19" s="135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20"/>
      <c r="AU19" s="120"/>
      <c r="AV19" s="120"/>
      <c r="AW19" s="120"/>
      <c r="AX19" s="120"/>
      <c r="AY19" s="120"/>
      <c r="AZ19" s="120"/>
      <c r="BA19" s="120"/>
      <c r="BB19" s="119"/>
      <c r="BC19" s="119"/>
      <c r="BD19" s="119"/>
      <c r="BE19" s="119"/>
      <c r="BF19" s="119"/>
      <c r="BG19" s="119"/>
      <c r="BH19" s="119"/>
      <c r="BI19" s="119"/>
      <c r="BJ19" s="119"/>
    </row>
    <row r="20" spans="1:62">
      <c r="A20" s="131"/>
      <c r="B20" s="132" t="s">
        <v>312</v>
      </c>
      <c r="C20" s="133"/>
      <c r="D20" s="133"/>
      <c r="E20" s="134"/>
      <c r="F20" s="134"/>
      <c r="G20" s="134"/>
      <c r="H20" s="131"/>
      <c r="I20" s="131"/>
      <c r="J20" s="131"/>
      <c r="K20" s="135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21"/>
      <c r="AU20" s="121"/>
      <c r="AV20" s="121"/>
      <c r="AW20" s="119"/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19"/>
    </row>
    <row r="21" spans="1:62">
      <c r="A21" s="131"/>
      <c r="B21" s="132" t="s">
        <v>313</v>
      </c>
      <c r="C21" s="133"/>
      <c r="D21" s="133"/>
      <c r="E21" s="134"/>
      <c r="F21" s="134"/>
      <c r="G21" s="134"/>
      <c r="H21" s="131"/>
      <c r="I21" s="131"/>
      <c r="J21" s="131"/>
      <c r="K21" s="135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21"/>
      <c r="AW21" s="121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</row>
    <row r="22" spans="1:62">
      <c r="A22" s="131"/>
      <c r="B22" s="132" t="s">
        <v>314</v>
      </c>
      <c r="C22" s="133"/>
      <c r="D22" s="133"/>
      <c r="E22" s="134"/>
      <c r="F22" s="134"/>
      <c r="G22" s="134"/>
      <c r="H22" s="131"/>
      <c r="I22" s="131"/>
      <c r="J22" s="131"/>
      <c r="K22" s="135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21"/>
      <c r="AY22" s="121"/>
      <c r="AZ22" s="121"/>
      <c r="BA22" s="121"/>
      <c r="BB22" s="119"/>
      <c r="BC22" s="119"/>
      <c r="BD22" s="119"/>
      <c r="BE22" s="119"/>
      <c r="BF22" s="119"/>
      <c r="BG22" s="119"/>
      <c r="BH22" s="119"/>
      <c r="BI22" s="119"/>
      <c r="BJ22" s="119"/>
    </row>
    <row r="23" spans="1:62">
      <c r="A23" s="127" t="s">
        <v>11</v>
      </c>
      <c r="B23" s="127"/>
      <c r="C23" s="128">
        <f>MIN(C24:D28)</f>
        <v>0</v>
      </c>
      <c r="D23" s="128">
        <f>MAX(C24:D28)</f>
        <v>0</v>
      </c>
      <c r="E23" s="129"/>
      <c r="F23" s="129"/>
      <c r="G23" s="129"/>
      <c r="H23" s="129"/>
      <c r="I23" s="129"/>
      <c r="J23" s="130"/>
      <c r="K23" s="135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20"/>
      <c r="BC23" s="120"/>
      <c r="BD23" s="120"/>
      <c r="BE23" s="120"/>
      <c r="BF23" s="119"/>
      <c r="BG23" s="119"/>
      <c r="BH23" s="119"/>
      <c r="BI23" s="119"/>
      <c r="BJ23" s="119"/>
    </row>
    <row r="24" spans="1:62">
      <c r="A24" s="131"/>
      <c r="B24" s="132" t="s">
        <v>315</v>
      </c>
      <c r="C24" s="133"/>
      <c r="D24" s="133"/>
      <c r="E24" s="134"/>
      <c r="F24" s="134"/>
      <c r="G24" s="134"/>
      <c r="H24" s="131"/>
      <c r="I24" s="131"/>
      <c r="J24" s="131"/>
      <c r="K24" s="135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21"/>
      <c r="BC24" s="121"/>
      <c r="BD24" s="119"/>
      <c r="BE24" s="119"/>
      <c r="BF24" s="119"/>
      <c r="BG24" s="119"/>
      <c r="BH24" s="119"/>
      <c r="BI24" s="119"/>
      <c r="BJ24" s="119"/>
    </row>
    <row r="25" spans="1:62">
      <c r="A25" s="131"/>
      <c r="B25" s="131" t="s">
        <v>316</v>
      </c>
      <c r="C25" s="133"/>
      <c r="D25" s="133"/>
      <c r="E25" s="134"/>
      <c r="F25" s="134"/>
      <c r="G25" s="134"/>
      <c r="H25" s="131"/>
      <c r="I25" s="131"/>
      <c r="J25" s="131"/>
      <c r="K25" s="135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21"/>
      <c r="BE25" s="121"/>
      <c r="BF25" s="119"/>
      <c r="BG25" s="119"/>
      <c r="BH25" s="119"/>
      <c r="BI25" s="119"/>
      <c r="BJ25" s="119"/>
    </row>
    <row r="27" spans="1:62">
      <c r="K27" s="97"/>
    </row>
  </sheetData>
  <mergeCells count="38">
    <mergeCell ref="L6:M6"/>
    <mergeCell ref="N6:O6"/>
    <mergeCell ref="T6:U6"/>
    <mergeCell ref="BH6:BI6"/>
    <mergeCell ref="AV6:AW6"/>
    <mergeCell ref="Z6:AA6"/>
    <mergeCell ref="AB6:AC6"/>
    <mergeCell ref="K2:BJ2"/>
    <mergeCell ref="S3:W3"/>
    <mergeCell ref="AO3:AS3"/>
    <mergeCell ref="AB3:AE3"/>
    <mergeCell ref="P6:Q6"/>
    <mergeCell ref="K3:N3"/>
    <mergeCell ref="R6:S6"/>
    <mergeCell ref="O3:R3"/>
    <mergeCell ref="AD6:AE6"/>
    <mergeCell ref="AF6:AG6"/>
    <mergeCell ref="BG3:BJ3"/>
    <mergeCell ref="V6:W6"/>
    <mergeCell ref="X6:Y6"/>
    <mergeCell ref="AP6:AQ6"/>
    <mergeCell ref="AT3:AW3"/>
    <mergeCell ref="AR6:AS6"/>
    <mergeCell ref="X3:AA3"/>
    <mergeCell ref="AX3:BA3"/>
    <mergeCell ref="AL6:AM6"/>
    <mergeCell ref="BB3:BF3"/>
    <mergeCell ref="AX6:AY6"/>
    <mergeCell ref="AZ6:BA6"/>
    <mergeCell ref="BF6:BG6"/>
    <mergeCell ref="AK3:AN3"/>
    <mergeCell ref="AJ6:AK6"/>
    <mergeCell ref="BB6:BC6"/>
    <mergeCell ref="BD6:BE6"/>
    <mergeCell ref="AF3:AJ3"/>
    <mergeCell ref="AN6:AO6"/>
    <mergeCell ref="AT6:AU6"/>
    <mergeCell ref="AH6:AI6"/>
  </mergeCells>
  <conditionalFormatting sqref="H8:H18">
    <cfRule type="dataBar" priority="2">
      <dataBar>
        <cfvo type="min"/>
        <cfvo type="max"/>
        <color rgb="FF63C384"/>
      </dataBar>
    </cfRule>
  </conditionalFormatting>
  <conditionalFormatting sqref="I7:I18">
    <cfRule type="dataBar" priority="1">
      <dataBar>
        <cfvo type="min"/>
        <cfvo type="max"/>
        <color rgb="FF63C384"/>
      </dataBar>
    </cfRule>
  </conditionalFormatting>
  <conditionalFormatting sqref="K4:BJ4">
    <cfRule type="expression" dxfId="7" priority="3">
      <formula>AND(K$4 &lt;= TODAY(), TODAY() &lt; K$4 + 7)</formula>
    </cfRule>
  </conditionalFormatting>
  <conditionalFormatting sqref="K8:BJ8 K12:BJ12">
    <cfRule type="expression" dxfId="6" priority="4">
      <formula>AND(K$4&gt;=$C8, K$4&lt;=$D8)</formula>
    </cfRule>
  </conditionalFormatting>
  <conditionalFormatting sqref="K8:BJ18">
    <cfRule type="expression" dxfId="5" priority="5">
      <formula>AND(K$4&gt;=$C8, K$4&lt;=($C8+($D8-$C8)*$I8-1))</formula>
    </cfRule>
    <cfRule type="expression" dxfId="4" priority="6">
      <formula>AND(K$4&gt;=$C8, K$4&lt;=$D8)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63"/>
  <sheetViews>
    <sheetView workbookViewId="0">
      <pane ySplit="1" topLeftCell="A131" activePane="bottomLeft" state="frozen"/>
      <selection pane="bottomLeft" activeCell="A141" sqref="A141"/>
    </sheetView>
  </sheetViews>
  <sheetFormatPr defaultRowHeight="15" customHeight="1"/>
  <cols>
    <col min="1" max="1" width="16.54296875" customWidth="1"/>
    <col min="2" max="2" width="33.1796875" bestFit="1" customWidth="1"/>
    <col min="3" max="3" width="15.7265625" customWidth="1"/>
    <col min="4" max="4" width="81" customWidth="1"/>
    <col min="5" max="5" width="13.7265625" bestFit="1" customWidth="1"/>
    <col min="6" max="6" width="11.1796875" style="85" customWidth="1"/>
    <col min="7" max="7" width="10.7265625" style="85" customWidth="1"/>
    <col min="8" max="8" width="29.81640625" style="73" customWidth="1"/>
    <col min="9" max="9" width="20.81640625" style="73" bestFit="1" customWidth="1"/>
    <col min="10" max="10" width="20.81640625" style="73" customWidth="1"/>
    <col min="11" max="11" width="49.7265625" style="73" customWidth="1"/>
    <col min="13" max="13" width="15.26953125" bestFit="1" customWidth="1"/>
    <col min="14" max="14" width="29.81640625" bestFit="1" customWidth="1"/>
    <col min="15" max="15" width="17.7265625" customWidth="1"/>
    <col min="16" max="16" width="33.1796875" bestFit="1" customWidth="1"/>
    <col min="17" max="17" width="34.26953125" bestFit="1" customWidth="1"/>
    <col min="18" max="18" width="29.81640625" bestFit="1" customWidth="1"/>
    <col min="19" max="19" width="9.7265625" customWidth="1"/>
    <col min="20" max="20" width="21.26953125" customWidth="1"/>
    <col min="21" max="21" width="32.7265625" customWidth="1"/>
    <col min="22" max="22" width="19" customWidth="1"/>
    <col min="23" max="24" width="21" customWidth="1"/>
    <col min="25" max="25" width="9.1796875" customWidth="1"/>
    <col min="26" max="26" width="5" customWidth="1"/>
    <col min="27" max="27" width="7.453125" customWidth="1"/>
    <col min="28" max="28" width="11.7265625" customWidth="1"/>
    <col min="29" max="32" width="16.1796875" customWidth="1"/>
    <col min="33" max="34" width="11.7265625" bestFit="1" customWidth="1"/>
  </cols>
  <sheetData>
    <row r="1" spans="1:21">
      <c r="A1" s="145" t="s">
        <v>1</v>
      </c>
      <c r="B1" s="145" t="s">
        <v>273</v>
      </c>
      <c r="C1" s="145" t="s">
        <v>274</v>
      </c>
      <c r="D1" s="145" t="s">
        <v>317</v>
      </c>
      <c r="E1" s="145" t="s">
        <v>15</v>
      </c>
      <c r="F1" s="145" t="s">
        <v>95</v>
      </c>
      <c r="G1" s="145" t="s">
        <v>96</v>
      </c>
      <c r="H1" s="146" t="s">
        <v>275</v>
      </c>
      <c r="I1" s="146" t="s">
        <v>318</v>
      </c>
      <c r="J1" s="146" t="s">
        <v>319</v>
      </c>
      <c r="K1" s="146" t="s">
        <v>320</v>
      </c>
      <c r="M1" s="12" t="s">
        <v>321</v>
      </c>
      <c r="T1" s="12" t="s">
        <v>322</v>
      </c>
    </row>
    <row r="2" spans="1:21">
      <c r="A2" s="71" t="s">
        <v>323</v>
      </c>
      <c r="B2" s="71" t="s">
        <v>324</v>
      </c>
      <c r="C2" t="s">
        <v>325</v>
      </c>
      <c r="D2" t="s">
        <v>326</v>
      </c>
      <c r="E2" s="71">
        <v>18</v>
      </c>
      <c r="F2" s="70">
        <f>VLOOKUP(E2, sprintday!$A$6:$C$32, 2, FALSE)</f>
        <v>46027</v>
      </c>
      <c r="G2" s="70">
        <f>VLOOKUP(E2, sprintday!$A$6:$C$32, 3, FALSE)</f>
        <v>46031</v>
      </c>
      <c r="H2" s="86">
        <v>1</v>
      </c>
      <c r="I2" s="86" t="s">
        <v>327</v>
      </c>
      <c r="J2" s="86"/>
      <c r="K2" s="71" t="s">
        <v>328</v>
      </c>
      <c r="M2" s="84" t="s">
        <v>1</v>
      </c>
      <c r="N2" s="84" t="s">
        <v>15</v>
      </c>
      <c r="O2" s="84" t="s">
        <v>95</v>
      </c>
      <c r="P2" s="84" t="s">
        <v>96</v>
      </c>
      <c r="Q2" s="84" t="s">
        <v>273</v>
      </c>
      <c r="R2" t="s">
        <v>329</v>
      </c>
      <c r="T2" s="84" t="s">
        <v>1</v>
      </c>
      <c r="U2" t="s">
        <v>330</v>
      </c>
    </row>
    <row r="3" spans="1:21">
      <c r="A3" s="71" t="s">
        <v>323</v>
      </c>
      <c r="B3" s="71" t="s">
        <v>324</v>
      </c>
      <c r="C3" t="s">
        <v>331</v>
      </c>
      <c r="D3" t="s">
        <v>332</v>
      </c>
      <c r="E3" s="71">
        <v>18</v>
      </c>
      <c r="F3" s="70">
        <f>VLOOKUP(E3, sprintday!$A$6:$C$32, 2, FALSE)</f>
        <v>46027</v>
      </c>
      <c r="G3" s="70">
        <f>VLOOKUP(E3, sprintday!$A$6:$C$32, 3, FALSE)</f>
        <v>46031</v>
      </c>
      <c r="H3" s="87">
        <v>1</v>
      </c>
      <c r="I3" s="86" t="s">
        <v>327</v>
      </c>
      <c r="J3" s="86"/>
      <c r="K3" s="71" t="s">
        <v>328</v>
      </c>
      <c r="M3" t="s">
        <v>323</v>
      </c>
      <c r="R3">
        <v>90</v>
      </c>
      <c r="T3" t="s">
        <v>323</v>
      </c>
      <c r="U3">
        <v>90</v>
      </c>
    </row>
    <row r="4" spans="1:21">
      <c r="A4" s="71" t="s">
        <v>323</v>
      </c>
      <c r="B4" s="71" t="s">
        <v>324</v>
      </c>
      <c r="C4" t="s">
        <v>333</v>
      </c>
      <c r="D4" t="s">
        <v>334</v>
      </c>
      <c r="E4" s="71">
        <v>18</v>
      </c>
      <c r="F4" s="70">
        <f>VLOOKUP(E4, sprintday!$A$6:$C$32, 2, FALSE)</f>
        <v>46027</v>
      </c>
      <c r="G4" s="70">
        <f>VLOOKUP(E4, sprintday!$A$6:$C$32, 3, FALSE)</f>
        <v>46031</v>
      </c>
      <c r="H4" s="87">
        <v>1</v>
      </c>
      <c r="I4" s="86" t="s">
        <v>327</v>
      </c>
      <c r="J4" s="86"/>
      <c r="K4" s="71" t="s">
        <v>328</v>
      </c>
      <c r="N4">
        <v>18</v>
      </c>
      <c r="O4" s="36">
        <v>46027</v>
      </c>
      <c r="P4" s="36">
        <v>46031</v>
      </c>
      <c r="Q4" t="s">
        <v>324</v>
      </c>
      <c r="R4">
        <v>8</v>
      </c>
      <c r="T4" t="s">
        <v>335</v>
      </c>
      <c r="U4">
        <v>2</v>
      </c>
    </row>
    <row r="5" spans="1:21">
      <c r="A5" s="71" t="s">
        <v>323</v>
      </c>
      <c r="B5" s="71" t="s">
        <v>324</v>
      </c>
      <c r="C5" t="s">
        <v>336</v>
      </c>
      <c r="D5" t="s">
        <v>337</v>
      </c>
      <c r="E5" s="71">
        <v>18</v>
      </c>
      <c r="F5" s="70">
        <f>VLOOKUP(E5, sprintday!$A$6:$C$32, 2, FALSE)</f>
        <v>46027</v>
      </c>
      <c r="G5" s="70">
        <f>VLOOKUP(E5, sprintday!$A$6:$C$32, 3, FALSE)</f>
        <v>46031</v>
      </c>
      <c r="H5" s="87">
        <v>1</v>
      </c>
      <c r="I5" s="86" t="s">
        <v>327</v>
      </c>
      <c r="J5" s="86"/>
      <c r="K5" s="71" t="s">
        <v>328</v>
      </c>
      <c r="N5">
        <v>19</v>
      </c>
      <c r="O5" s="36">
        <v>46034</v>
      </c>
      <c r="P5" s="36">
        <v>46045</v>
      </c>
      <c r="Q5" t="s">
        <v>324</v>
      </c>
      <c r="R5">
        <v>14</v>
      </c>
      <c r="T5" t="s">
        <v>338</v>
      </c>
      <c r="U5">
        <v>41</v>
      </c>
    </row>
    <row r="6" spans="1:21">
      <c r="A6" s="71" t="s">
        <v>323</v>
      </c>
      <c r="B6" s="71" t="s">
        <v>324</v>
      </c>
      <c r="C6" t="s">
        <v>339</v>
      </c>
      <c r="D6" t="s">
        <v>340</v>
      </c>
      <c r="E6" s="71">
        <v>18</v>
      </c>
      <c r="F6" s="70">
        <f>VLOOKUP(E6, sprintday!$A$6:$C$32, 2, FALSE)</f>
        <v>46027</v>
      </c>
      <c r="G6" s="70">
        <f>VLOOKUP(E6, sprintday!$A$6:$C$32, 3, FALSE)</f>
        <v>46031</v>
      </c>
      <c r="H6" s="87">
        <v>1</v>
      </c>
      <c r="I6" s="86" t="s">
        <v>327</v>
      </c>
      <c r="J6" s="86"/>
      <c r="K6" s="71" t="s">
        <v>341</v>
      </c>
      <c r="N6">
        <v>20</v>
      </c>
      <c r="O6" s="36">
        <v>46048</v>
      </c>
      <c r="P6" s="36">
        <v>46059</v>
      </c>
      <c r="Q6" t="s">
        <v>342</v>
      </c>
      <c r="R6">
        <v>14</v>
      </c>
      <c r="T6" t="s">
        <v>343</v>
      </c>
      <c r="U6">
        <v>6</v>
      </c>
    </row>
    <row r="7" spans="1:21">
      <c r="A7" s="71" t="s">
        <v>323</v>
      </c>
      <c r="B7" s="71" t="s">
        <v>324</v>
      </c>
      <c r="C7" t="s">
        <v>344</v>
      </c>
      <c r="D7" t="s">
        <v>345</v>
      </c>
      <c r="E7" s="71">
        <v>18</v>
      </c>
      <c r="F7" s="70">
        <f>VLOOKUP(E7, sprintday!$A$6:$C$32, 2, FALSE)</f>
        <v>46027</v>
      </c>
      <c r="G7" s="70">
        <f>VLOOKUP(E7, sprintday!$A$6:$C$32, 3, FALSE)</f>
        <v>46031</v>
      </c>
      <c r="H7" s="87">
        <v>1</v>
      </c>
      <c r="I7" s="86" t="s">
        <v>327</v>
      </c>
      <c r="J7" s="86"/>
      <c r="K7" s="71" t="s">
        <v>341</v>
      </c>
      <c r="N7">
        <v>21</v>
      </c>
      <c r="O7" s="36">
        <v>46062</v>
      </c>
      <c r="P7" s="36">
        <v>46073</v>
      </c>
      <c r="Q7" t="s">
        <v>342</v>
      </c>
      <c r="R7">
        <v>8</v>
      </c>
      <c r="T7" t="s">
        <v>346</v>
      </c>
      <c r="U7">
        <v>139</v>
      </c>
    </row>
    <row r="8" spans="1:21">
      <c r="A8" s="71" t="s">
        <v>323</v>
      </c>
      <c r="B8" s="71" t="s">
        <v>324</v>
      </c>
      <c r="C8" t="s">
        <v>347</v>
      </c>
      <c r="D8" t="s">
        <v>348</v>
      </c>
      <c r="E8" s="71">
        <v>18</v>
      </c>
      <c r="F8" s="70">
        <f>VLOOKUP(E8, sprintday!$A$6:$C$32, 2, FALSE)</f>
        <v>46027</v>
      </c>
      <c r="G8" s="70">
        <f>VLOOKUP(E8, sprintday!$A$6:$C$32, 3, FALSE)</f>
        <v>46031</v>
      </c>
      <c r="H8" s="87">
        <v>1</v>
      </c>
      <c r="I8" s="86" t="s">
        <v>327</v>
      </c>
      <c r="J8" s="86"/>
      <c r="K8" s="71" t="s">
        <v>341</v>
      </c>
      <c r="N8">
        <v>22</v>
      </c>
      <c r="O8" s="36">
        <v>46076</v>
      </c>
      <c r="P8" s="36">
        <v>46087</v>
      </c>
      <c r="Q8" t="s">
        <v>349</v>
      </c>
      <c r="R8">
        <v>7</v>
      </c>
    </row>
    <row r="9" spans="1:21">
      <c r="A9" s="71" t="s">
        <v>323</v>
      </c>
      <c r="B9" s="71" t="s">
        <v>324</v>
      </c>
      <c r="C9" t="s">
        <v>350</v>
      </c>
      <c r="D9" t="s">
        <v>351</v>
      </c>
      <c r="E9" s="71">
        <v>18</v>
      </c>
      <c r="F9" s="70">
        <f>VLOOKUP(E9, sprintday!$A$6:$C$32, 2, FALSE)</f>
        <v>46027</v>
      </c>
      <c r="G9" s="70">
        <f>VLOOKUP(E9, sprintday!$A$6:$C$32, 3, FALSE)</f>
        <v>46031</v>
      </c>
      <c r="H9" s="87">
        <v>1</v>
      </c>
      <c r="I9" s="86" t="s">
        <v>327</v>
      </c>
      <c r="J9" s="86"/>
      <c r="K9" s="71" t="s">
        <v>341</v>
      </c>
      <c r="Q9" t="s">
        <v>342</v>
      </c>
      <c r="R9">
        <v>4</v>
      </c>
    </row>
    <row r="10" spans="1:21">
      <c r="A10" s="71" t="s">
        <v>323</v>
      </c>
      <c r="B10" s="71" t="s">
        <v>324</v>
      </c>
      <c r="C10" t="s">
        <v>352</v>
      </c>
      <c r="D10" t="s">
        <v>200</v>
      </c>
      <c r="E10" s="71">
        <v>19</v>
      </c>
      <c r="F10" s="70">
        <f>VLOOKUP(E10, sprintday!$A$6:$C$32, 2, FALSE)</f>
        <v>46034</v>
      </c>
      <c r="G10" s="70">
        <f>VLOOKUP(E10, sprintday!$A$6:$C$32, 3, FALSE)</f>
        <v>46045</v>
      </c>
      <c r="H10" s="87">
        <v>1</v>
      </c>
      <c r="I10" s="86" t="s">
        <v>327</v>
      </c>
      <c r="J10" s="86"/>
      <c r="K10" s="86"/>
      <c r="N10">
        <v>23</v>
      </c>
      <c r="O10" s="36">
        <v>46090</v>
      </c>
      <c r="R10">
        <v>7</v>
      </c>
    </row>
    <row r="11" spans="1:21">
      <c r="A11" s="71" t="s">
        <v>323</v>
      </c>
      <c r="B11" s="71" t="s">
        <v>324</v>
      </c>
      <c r="C11" t="s">
        <v>353</v>
      </c>
      <c r="D11" t="s">
        <v>201</v>
      </c>
      <c r="E11" s="71">
        <v>19</v>
      </c>
      <c r="F11" s="70">
        <f>VLOOKUP(E11, sprintday!$A$6:$C$32, 2, FALSE)</f>
        <v>46034</v>
      </c>
      <c r="G11" s="70">
        <f>VLOOKUP(E11, sprintday!$A$6:$C$32, 3, FALSE)</f>
        <v>46045</v>
      </c>
      <c r="H11" s="87">
        <v>1</v>
      </c>
      <c r="I11" s="86" t="s">
        <v>327</v>
      </c>
      <c r="J11" s="86"/>
      <c r="K11" s="86"/>
      <c r="N11">
        <v>24</v>
      </c>
      <c r="O11" s="36">
        <v>46104</v>
      </c>
      <c r="P11" s="36">
        <v>46115</v>
      </c>
      <c r="Q11" t="s">
        <v>342</v>
      </c>
      <c r="R11">
        <v>11</v>
      </c>
    </row>
    <row r="12" spans="1:21">
      <c r="A12" s="71" t="s">
        <v>323</v>
      </c>
      <c r="B12" s="71" t="s">
        <v>324</v>
      </c>
      <c r="C12" t="s">
        <v>354</v>
      </c>
      <c r="D12" t="s">
        <v>355</v>
      </c>
      <c r="E12" s="71">
        <v>19</v>
      </c>
      <c r="F12" s="70">
        <f>VLOOKUP(E12, sprintday!$A$6:$C$32, 2, FALSE)</f>
        <v>46034</v>
      </c>
      <c r="G12" s="70">
        <f>VLOOKUP(E12, sprintday!$A$6:$C$32, 3, FALSE)</f>
        <v>46045</v>
      </c>
      <c r="H12" s="87">
        <v>1</v>
      </c>
      <c r="I12" s="86" t="s">
        <v>327</v>
      </c>
      <c r="J12" s="86"/>
      <c r="K12" s="86"/>
      <c r="N12">
        <v>25</v>
      </c>
      <c r="O12" s="36">
        <v>46118</v>
      </c>
      <c r="P12" s="36">
        <v>46129</v>
      </c>
      <c r="Q12" t="s">
        <v>342</v>
      </c>
      <c r="R12">
        <v>5</v>
      </c>
    </row>
    <row r="13" spans="1:21">
      <c r="A13" s="71" t="s">
        <v>323</v>
      </c>
      <c r="B13" s="71" t="s">
        <v>324</v>
      </c>
      <c r="C13" t="s">
        <v>356</v>
      </c>
      <c r="D13" t="s">
        <v>357</v>
      </c>
      <c r="E13" s="71">
        <v>19</v>
      </c>
      <c r="F13" s="70">
        <f>VLOOKUP(E13, sprintday!$A$6:$C$32, 2, FALSE)</f>
        <v>46034</v>
      </c>
      <c r="G13" s="70">
        <f>VLOOKUP(E13, sprintday!$A$6:$C$32, 3, FALSE)</f>
        <v>46045</v>
      </c>
      <c r="H13" s="87">
        <v>1</v>
      </c>
      <c r="I13" s="86" t="s">
        <v>327</v>
      </c>
      <c r="J13" s="86"/>
      <c r="K13" s="86"/>
      <c r="N13">
        <v>26</v>
      </c>
      <c r="O13" s="36">
        <v>46132</v>
      </c>
      <c r="P13" s="36">
        <v>46143</v>
      </c>
      <c r="Q13" t="s">
        <v>342</v>
      </c>
      <c r="R13">
        <v>6</v>
      </c>
    </row>
    <row r="14" spans="1:21">
      <c r="A14" s="71" t="s">
        <v>323</v>
      </c>
      <c r="B14" s="71" t="s">
        <v>324</v>
      </c>
      <c r="C14" t="s">
        <v>358</v>
      </c>
      <c r="D14" t="s">
        <v>359</v>
      </c>
      <c r="E14" s="71">
        <v>19</v>
      </c>
      <c r="F14" s="70">
        <f>VLOOKUP(E14, sprintday!$A$6:$C$32, 2, FALSE)</f>
        <v>46034</v>
      </c>
      <c r="G14" s="70">
        <f>VLOOKUP(E14, sprintday!$A$6:$C$32, 3, FALSE)</f>
        <v>46045</v>
      </c>
      <c r="H14" s="87">
        <v>1</v>
      </c>
      <c r="I14" s="86" t="s">
        <v>327</v>
      </c>
      <c r="J14" s="86"/>
      <c r="K14" s="86"/>
      <c r="N14">
        <v>27</v>
      </c>
      <c r="O14" s="36">
        <v>46146</v>
      </c>
      <c r="P14" s="36">
        <v>46157</v>
      </c>
      <c r="Q14" t="s">
        <v>342</v>
      </c>
      <c r="R14">
        <v>5</v>
      </c>
    </row>
    <row r="15" spans="1:21">
      <c r="A15" s="71" t="s">
        <v>323</v>
      </c>
      <c r="B15" s="71" t="s">
        <v>324</v>
      </c>
      <c r="C15" t="s">
        <v>360</v>
      </c>
      <c r="D15" t="s">
        <v>361</v>
      </c>
      <c r="E15" s="71">
        <v>19</v>
      </c>
      <c r="F15" s="70">
        <f>VLOOKUP(E15, sprintday!$A$6:$C$32, 2, FALSE)</f>
        <v>46034</v>
      </c>
      <c r="G15" s="70">
        <f>VLOOKUP(E15, sprintday!$A$6:$C$32, 3, FALSE)</f>
        <v>46045</v>
      </c>
      <c r="H15" s="87">
        <v>1</v>
      </c>
      <c r="I15" s="86" t="s">
        <v>327</v>
      </c>
      <c r="J15" s="86"/>
      <c r="K15" s="86"/>
      <c r="N15">
        <v>29</v>
      </c>
      <c r="O15" s="36">
        <v>46174</v>
      </c>
      <c r="P15" s="36">
        <v>46185</v>
      </c>
      <c r="Q15" t="s">
        <v>349</v>
      </c>
      <c r="R15">
        <v>1</v>
      </c>
    </row>
    <row r="16" spans="1:21">
      <c r="A16" s="71" t="s">
        <v>323</v>
      </c>
      <c r="B16" s="71" t="s">
        <v>324</v>
      </c>
      <c r="C16" t="s">
        <v>362</v>
      </c>
      <c r="D16" t="s">
        <v>363</v>
      </c>
      <c r="E16" s="71">
        <v>19</v>
      </c>
      <c r="F16" s="70">
        <f>VLOOKUP(E16, sprintday!$A$6:$C$32, 2, FALSE)</f>
        <v>46034</v>
      </c>
      <c r="G16" s="70">
        <f>VLOOKUP(E16, sprintday!$A$6:$C$32, 3, FALSE)</f>
        <v>46045</v>
      </c>
      <c r="H16" s="87">
        <v>1</v>
      </c>
      <c r="I16" s="86" t="s">
        <v>327</v>
      </c>
      <c r="J16" s="86"/>
      <c r="K16" s="86"/>
      <c r="M16" t="s">
        <v>338</v>
      </c>
      <c r="R16">
        <v>57</v>
      </c>
    </row>
    <row r="17" spans="1:18">
      <c r="A17" s="71" t="s">
        <v>323</v>
      </c>
      <c r="B17" s="71" t="s">
        <v>324</v>
      </c>
      <c r="C17" t="s">
        <v>364</v>
      </c>
      <c r="D17" t="s">
        <v>365</v>
      </c>
      <c r="E17" s="71">
        <v>19</v>
      </c>
      <c r="F17" s="70">
        <f>VLOOKUP(E17, sprintday!$A$6:$C$32, 2, FALSE)</f>
        <v>46034</v>
      </c>
      <c r="G17" s="70">
        <f>VLOOKUP(E17, sprintday!$A$6:$C$32, 3, FALSE)</f>
        <v>46045</v>
      </c>
      <c r="H17" s="87">
        <v>1</v>
      </c>
      <c r="I17" s="86" t="s">
        <v>327</v>
      </c>
      <c r="J17" s="86"/>
      <c r="K17" s="86"/>
      <c r="N17">
        <v>27</v>
      </c>
      <c r="O17" s="36">
        <v>46146</v>
      </c>
      <c r="P17" s="36">
        <v>46157</v>
      </c>
      <c r="Q17" t="s">
        <v>169</v>
      </c>
      <c r="R17">
        <v>6</v>
      </c>
    </row>
    <row r="18" spans="1:18">
      <c r="A18" s="71" t="s">
        <v>323</v>
      </c>
      <c r="B18" s="71" t="s">
        <v>324</v>
      </c>
      <c r="C18" t="s">
        <v>366</v>
      </c>
      <c r="D18" t="s">
        <v>367</v>
      </c>
      <c r="E18" s="71">
        <v>19</v>
      </c>
      <c r="F18" s="70">
        <f>VLOOKUP(E18, sprintday!$A$6:$C$32, 2, FALSE)</f>
        <v>46034</v>
      </c>
      <c r="G18" s="70">
        <f>VLOOKUP(E18, sprintday!$A$6:$C$32, 3, FALSE)</f>
        <v>46045</v>
      </c>
      <c r="H18" s="87">
        <v>1</v>
      </c>
      <c r="I18" s="86" t="s">
        <v>327</v>
      </c>
      <c r="J18" s="86"/>
      <c r="K18" s="86"/>
      <c r="N18">
        <v>28</v>
      </c>
      <c r="O18" s="36">
        <v>46160</v>
      </c>
      <c r="P18" s="36">
        <v>46171</v>
      </c>
      <c r="Q18" t="s">
        <v>169</v>
      </c>
      <c r="R18">
        <v>10</v>
      </c>
    </row>
    <row r="19" spans="1:18">
      <c r="A19" s="71" t="s">
        <v>323</v>
      </c>
      <c r="B19" s="71" t="s">
        <v>324</v>
      </c>
      <c r="C19" t="s">
        <v>368</v>
      </c>
      <c r="D19" t="s">
        <v>369</v>
      </c>
      <c r="E19" s="71">
        <v>19</v>
      </c>
      <c r="F19" s="70">
        <f>VLOOKUP(E19, sprintday!$A$6:$C$32, 2, FALSE)</f>
        <v>46034</v>
      </c>
      <c r="G19" s="70">
        <f>VLOOKUP(E19, sprintday!$A$6:$C$32, 3, FALSE)</f>
        <v>46045</v>
      </c>
      <c r="H19" s="87">
        <v>1</v>
      </c>
      <c r="I19" s="86" t="s">
        <v>327</v>
      </c>
      <c r="J19" s="86"/>
      <c r="K19" s="86"/>
      <c r="N19">
        <v>29</v>
      </c>
      <c r="O19" s="36">
        <v>46174</v>
      </c>
      <c r="P19" s="36">
        <v>46185</v>
      </c>
      <c r="Q19" t="s">
        <v>169</v>
      </c>
      <c r="R19">
        <v>7</v>
      </c>
    </row>
    <row r="20" spans="1:18">
      <c r="A20" s="71" t="s">
        <v>323</v>
      </c>
      <c r="B20" s="71" t="s">
        <v>324</v>
      </c>
      <c r="C20" t="s">
        <v>370</v>
      </c>
      <c r="D20" t="s">
        <v>371</v>
      </c>
      <c r="E20" s="71">
        <v>19</v>
      </c>
      <c r="F20" s="70">
        <f>VLOOKUP(E20, sprintday!$A$6:$C$32, 2, FALSE)</f>
        <v>46034</v>
      </c>
      <c r="G20" s="70">
        <f>VLOOKUP(E20, sprintday!$A$6:$C$32, 3, FALSE)</f>
        <v>46045</v>
      </c>
      <c r="H20" s="87">
        <v>1</v>
      </c>
      <c r="I20" s="86" t="s">
        <v>327</v>
      </c>
      <c r="J20" s="86"/>
      <c r="K20" s="86"/>
      <c r="N20">
        <v>30</v>
      </c>
      <c r="O20" s="36">
        <v>46188</v>
      </c>
      <c r="P20" s="36">
        <v>46199</v>
      </c>
      <c r="Q20" t="s">
        <v>169</v>
      </c>
      <c r="R20">
        <v>4</v>
      </c>
    </row>
    <row r="21" spans="1:18">
      <c r="A21" s="71" t="s">
        <v>323</v>
      </c>
      <c r="B21" s="71" t="s">
        <v>324</v>
      </c>
      <c r="C21" t="s">
        <v>372</v>
      </c>
      <c r="D21" t="s">
        <v>373</v>
      </c>
      <c r="E21" s="71">
        <v>19</v>
      </c>
      <c r="F21" s="70">
        <f>VLOOKUP(E21, sprintday!$A$6:$C$32, 2, FALSE)</f>
        <v>46034</v>
      </c>
      <c r="G21" s="70">
        <f>VLOOKUP(E21, sprintday!$A$6:$C$32, 3, FALSE)</f>
        <v>46045</v>
      </c>
      <c r="H21" s="87">
        <v>1</v>
      </c>
      <c r="I21" s="86" t="s">
        <v>327</v>
      </c>
      <c r="J21" s="86"/>
      <c r="K21" s="86"/>
      <c r="N21">
        <v>31</v>
      </c>
      <c r="O21" s="36">
        <v>46202</v>
      </c>
      <c r="P21" s="36">
        <v>46213</v>
      </c>
      <c r="Q21" t="s">
        <v>374</v>
      </c>
      <c r="R21">
        <v>2</v>
      </c>
    </row>
    <row r="22" spans="1:18">
      <c r="A22" s="71" t="s">
        <v>323</v>
      </c>
      <c r="B22" s="71" t="s">
        <v>324</v>
      </c>
      <c r="C22" t="s">
        <v>375</v>
      </c>
      <c r="D22" t="s">
        <v>376</v>
      </c>
      <c r="E22" s="71">
        <v>19</v>
      </c>
      <c r="F22" s="70">
        <f>VLOOKUP(E22, sprintday!$A$6:$C$32, 2, FALSE)</f>
        <v>46034</v>
      </c>
      <c r="G22" s="70">
        <f>VLOOKUP(E22, sprintday!$A$6:$C$32, 3, FALSE)</f>
        <v>46045</v>
      </c>
      <c r="H22" s="87">
        <v>1</v>
      </c>
      <c r="I22" s="86" t="s">
        <v>327</v>
      </c>
      <c r="J22" s="86"/>
      <c r="K22" s="86"/>
      <c r="Q22" t="s">
        <v>169</v>
      </c>
      <c r="R22">
        <v>3</v>
      </c>
    </row>
    <row r="23" spans="1:18">
      <c r="A23" s="71" t="s">
        <v>323</v>
      </c>
      <c r="B23" s="71" t="s">
        <v>324</v>
      </c>
      <c r="C23" t="s">
        <v>377</v>
      </c>
      <c r="D23" t="s">
        <v>378</v>
      </c>
      <c r="E23" s="71">
        <v>19</v>
      </c>
      <c r="F23" s="70">
        <f>VLOOKUP(E23, sprintday!$A$6:$C$32, 2, FALSE)</f>
        <v>46034</v>
      </c>
      <c r="G23" s="70">
        <f>VLOOKUP(E23, sprintday!$A$6:$C$32, 3, FALSE)</f>
        <v>46045</v>
      </c>
      <c r="H23" s="87">
        <v>1</v>
      </c>
      <c r="I23" s="86" t="s">
        <v>327</v>
      </c>
      <c r="J23" s="86"/>
      <c r="K23" s="86"/>
      <c r="N23">
        <v>32</v>
      </c>
      <c r="O23" s="36">
        <v>46216</v>
      </c>
      <c r="P23" s="36">
        <v>46227</v>
      </c>
      <c r="Q23" t="s">
        <v>374</v>
      </c>
      <c r="R23">
        <v>14</v>
      </c>
    </row>
    <row r="24" spans="1:18">
      <c r="A24" s="71" t="s">
        <v>323</v>
      </c>
      <c r="B24" t="s">
        <v>342</v>
      </c>
      <c r="C24" t="s">
        <v>379</v>
      </c>
      <c r="D24" t="s">
        <v>199</v>
      </c>
      <c r="E24">
        <v>20</v>
      </c>
      <c r="F24" s="70">
        <f>VLOOKUP(E24, sprintday!$A$6:$C$32, 2, FALSE)</f>
        <v>46048</v>
      </c>
      <c r="G24" s="70">
        <f>VLOOKUP(E24, sprintday!$A$6:$C$32, 3, FALSE)</f>
        <v>46059</v>
      </c>
      <c r="H24" s="87">
        <v>1</v>
      </c>
      <c r="I24" s="86" t="s">
        <v>327</v>
      </c>
      <c r="J24" s="86"/>
      <c r="K24" s="86"/>
      <c r="Q24" t="s">
        <v>294</v>
      </c>
      <c r="R24">
        <v>1</v>
      </c>
    </row>
    <row r="25" spans="1:18">
      <c r="A25" s="71" t="s">
        <v>323</v>
      </c>
      <c r="B25" t="s">
        <v>342</v>
      </c>
      <c r="C25" t="s">
        <v>380</v>
      </c>
      <c r="D25" t="s">
        <v>381</v>
      </c>
      <c r="E25">
        <v>20</v>
      </c>
      <c r="F25" s="70">
        <f>VLOOKUP(E25, sprintday!$A$6:$C$32, 2, FALSE)</f>
        <v>46048</v>
      </c>
      <c r="G25" s="70">
        <f>VLOOKUP(E25, sprintday!$A$6:$C$32, 3, FALSE)</f>
        <v>46059</v>
      </c>
      <c r="H25" s="87">
        <v>1</v>
      </c>
      <c r="I25" s="86" t="s">
        <v>327</v>
      </c>
      <c r="J25" s="86"/>
      <c r="K25" s="86"/>
      <c r="N25">
        <v>33</v>
      </c>
      <c r="O25" s="36">
        <v>46230</v>
      </c>
      <c r="P25" s="36">
        <v>46241</v>
      </c>
      <c r="Q25" t="s">
        <v>296</v>
      </c>
      <c r="R25">
        <v>2</v>
      </c>
    </row>
    <row r="26" spans="1:18">
      <c r="A26" s="71" t="s">
        <v>323</v>
      </c>
      <c r="B26" t="s">
        <v>342</v>
      </c>
      <c r="C26" t="s">
        <v>382</v>
      </c>
      <c r="D26" t="s">
        <v>383</v>
      </c>
      <c r="E26">
        <v>20</v>
      </c>
      <c r="F26" s="70">
        <f>VLOOKUP(E26, sprintday!$A$6:$C$32, 2, FALSE)</f>
        <v>46048</v>
      </c>
      <c r="G26" s="70">
        <f>VLOOKUP(E26, sprintday!$A$6:$C$32, 3, FALSE)</f>
        <v>46059</v>
      </c>
      <c r="H26" s="87">
        <v>1</v>
      </c>
      <c r="I26" s="86" t="s">
        <v>327</v>
      </c>
      <c r="J26" s="86"/>
      <c r="K26" s="86"/>
      <c r="Q26" t="s">
        <v>294</v>
      </c>
      <c r="R26">
        <v>1</v>
      </c>
    </row>
    <row r="27" spans="1:18">
      <c r="A27" s="71" t="s">
        <v>323</v>
      </c>
      <c r="B27" t="s">
        <v>342</v>
      </c>
      <c r="C27" t="s">
        <v>384</v>
      </c>
      <c r="D27" t="s">
        <v>385</v>
      </c>
      <c r="E27">
        <v>20</v>
      </c>
      <c r="F27" s="70">
        <f>VLOOKUP(E27, sprintday!$A$6:$C$32, 2, FALSE)</f>
        <v>46048</v>
      </c>
      <c r="G27" s="70">
        <f>VLOOKUP(E27, sprintday!$A$6:$C$32, 3, FALSE)</f>
        <v>46059</v>
      </c>
      <c r="H27" s="87">
        <v>1</v>
      </c>
      <c r="I27" s="86" t="s">
        <v>327</v>
      </c>
      <c r="J27" s="86"/>
      <c r="K27" s="86"/>
      <c r="N27">
        <v>34</v>
      </c>
      <c r="O27" s="36">
        <v>46244</v>
      </c>
      <c r="P27" s="36">
        <v>46255</v>
      </c>
      <c r="Q27" t="s">
        <v>296</v>
      </c>
      <c r="R27">
        <v>2</v>
      </c>
    </row>
    <row r="28" spans="1:18">
      <c r="A28" s="71" t="s">
        <v>323</v>
      </c>
      <c r="B28" t="s">
        <v>342</v>
      </c>
      <c r="C28" t="s">
        <v>386</v>
      </c>
      <c r="D28" t="s">
        <v>387</v>
      </c>
      <c r="E28">
        <v>20</v>
      </c>
      <c r="F28" s="70">
        <f>VLOOKUP(E28, sprintday!$A$6:$C$32, 2, FALSE)</f>
        <v>46048</v>
      </c>
      <c r="G28" s="70">
        <f>VLOOKUP(E28, sprintday!$A$6:$C$32, 3, FALSE)</f>
        <v>46059</v>
      </c>
      <c r="H28" s="87">
        <v>1</v>
      </c>
      <c r="I28" s="86" t="s">
        <v>327</v>
      </c>
      <c r="J28" s="86"/>
      <c r="K28" s="86"/>
      <c r="Q28" t="s">
        <v>298</v>
      </c>
      <c r="R28">
        <v>1</v>
      </c>
    </row>
    <row r="29" spans="1:18">
      <c r="A29" s="71" t="s">
        <v>323</v>
      </c>
      <c r="B29" t="s">
        <v>342</v>
      </c>
      <c r="C29" t="s">
        <v>388</v>
      </c>
      <c r="D29" t="s">
        <v>389</v>
      </c>
      <c r="E29">
        <v>20</v>
      </c>
      <c r="F29" s="70">
        <f>VLOOKUP(E29, sprintday!$A$6:$C$32, 2, FALSE)</f>
        <v>46048</v>
      </c>
      <c r="G29" s="70">
        <f>VLOOKUP(E29, sprintday!$A$6:$C$32, 3, FALSE)</f>
        <v>46059</v>
      </c>
      <c r="H29" s="87">
        <v>1</v>
      </c>
      <c r="I29" s="86" t="s">
        <v>327</v>
      </c>
      <c r="J29" s="86"/>
      <c r="K29" s="86"/>
      <c r="N29">
        <v>35</v>
      </c>
      <c r="O29" s="36">
        <v>46258</v>
      </c>
      <c r="P29" s="36">
        <v>46269</v>
      </c>
      <c r="Q29" t="s">
        <v>300</v>
      </c>
      <c r="R29">
        <v>2</v>
      </c>
    </row>
    <row r="30" spans="1:18">
      <c r="A30" s="71" t="s">
        <v>323</v>
      </c>
      <c r="B30" t="s">
        <v>342</v>
      </c>
      <c r="C30" t="s">
        <v>390</v>
      </c>
      <c r="D30" t="s">
        <v>391</v>
      </c>
      <c r="E30">
        <v>20</v>
      </c>
      <c r="F30" s="70">
        <f>VLOOKUP(E30, sprintday!$A$6:$C$32, 2, FALSE)</f>
        <v>46048</v>
      </c>
      <c r="G30" s="70">
        <f>VLOOKUP(E30, sprintday!$A$6:$C$32, 3, FALSE)</f>
        <v>46059</v>
      </c>
      <c r="H30" s="87">
        <v>1</v>
      </c>
      <c r="I30" s="86" t="s">
        <v>327</v>
      </c>
      <c r="J30" s="86"/>
      <c r="K30" s="86"/>
      <c r="Q30" t="s">
        <v>298</v>
      </c>
      <c r="R30">
        <v>2</v>
      </c>
    </row>
    <row r="31" spans="1:18">
      <c r="A31" s="71" t="s">
        <v>323</v>
      </c>
      <c r="B31" t="s">
        <v>342</v>
      </c>
      <c r="C31" t="s">
        <v>392</v>
      </c>
      <c r="D31" t="s">
        <v>393</v>
      </c>
      <c r="E31">
        <v>20</v>
      </c>
      <c r="F31" s="70">
        <f>VLOOKUP(E31, sprintday!$A$6:$C$32, 2, FALSE)</f>
        <v>46048</v>
      </c>
      <c r="G31" s="70">
        <f>VLOOKUP(E31, sprintday!$A$6:$C$32, 3, FALSE)</f>
        <v>46059</v>
      </c>
      <c r="H31" s="87">
        <v>1</v>
      </c>
      <c r="I31" s="86" t="s">
        <v>327</v>
      </c>
      <c r="J31" s="86"/>
      <c r="K31" s="86"/>
      <c r="M31" t="s">
        <v>335</v>
      </c>
      <c r="R31">
        <v>2</v>
      </c>
    </row>
    <row r="32" spans="1:18">
      <c r="A32" s="71" t="s">
        <v>323</v>
      </c>
      <c r="B32" t="s">
        <v>342</v>
      </c>
      <c r="C32" t="s">
        <v>394</v>
      </c>
      <c r="D32" t="s">
        <v>395</v>
      </c>
      <c r="E32">
        <v>20</v>
      </c>
      <c r="F32" s="70">
        <f>VLOOKUP(E32, sprintday!$A$6:$C$32, 2, FALSE)</f>
        <v>46048</v>
      </c>
      <c r="G32" s="70">
        <f>VLOOKUP(E32, sprintday!$A$6:$C$32, 3, FALSE)</f>
        <v>46059</v>
      </c>
      <c r="H32" s="87">
        <v>1</v>
      </c>
      <c r="I32" s="86" t="s">
        <v>327</v>
      </c>
      <c r="J32" s="86"/>
      <c r="K32" s="86"/>
      <c r="N32">
        <v>42</v>
      </c>
      <c r="O32" s="36">
        <v>46356</v>
      </c>
      <c r="P32" s="36">
        <v>46367</v>
      </c>
      <c r="Q32" t="s">
        <v>305</v>
      </c>
      <c r="R32">
        <v>1</v>
      </c>
    </row>
    <row r="33" spans="1:18">
      <c r="A33" s="71" t="s">
        <v>323</v>
      </c>
      <c r="B33" t="s">
        <v>342</v>
      </c>
      <c r="C33" t="s">
        <v>396</v>
      </c>
      <c r="D33" t="s">
        <v>397</v>
      </c>
      <c r="E33">
        <v>20</v>
      </c>
      <c r="F33" s="70">
        <f>VLOOKUP(E33, sprintday!$A$6:$C$32, 2, FALSE)</f>
        <v>46048</v>
      </c>
      <c r="G33" s="70">
        <f>VLOOKUP(E33, sprintday!$A$6:$C$32, 3, FALSE)</f>
        <v>46059</v>
      </c>
      <c r="H33" s="87">
        <v>1</v>
      </c>
      <c r="I33" s="86" t="s">
        <v>327</v>
      </c>
      <c r="J33" s="86"/>
      <c r="K33" s="86"/>
      <c r="N33">
        <v>43</v>
      </c>
      <c r="O33" s="36">
        <v>46370</v>
      </c>
      <c r="P33" s="36">
        <v>46381</v>
      </c>
      <c r="Q33" t="s">
        <v>306</v>
      </c>
      <c r="R33">
        <v>1</v>
      </c>
    </row>
    <row r="34" spans="1:18">
      <c r="A34" s="71" t="s">
        <v>323</v>
      </c>
      <c r="B34" t="s">
        <v>342</v>
      </c>
      <c r="C34" t="s">
        <v>398</v>
      </c>
      <c r="D34" t="s">
        <v>399</v>
      </c>
      <c r="E34">
        <v>20</v>
      </c>
      <c r="F34" s="70">
        <f>VLOOKUP(E34, sprintday!$A$6:$C$32, 2, FALSE)</f>
        <v>46048</v>
      </c>
      <c r="G34" s="70">
        <f>VLOOKUP(E34, sprintday!$A$6:$C$32, 3, FALSE)</f>
        <v>46059</v>
      </c>
      <c r="H34" s="87">
        <v>1</v>
      </c>
      <c r="I34" s="86" t="s">
        <v>327</v>
      </c>
      <c r="J34" s="86"/>
      <c r="K34" s="86"/>
      <c r="M34" t="s">
        <v>343</v>
      </c>
      <c r="R34">
        <v>6</v>
      </c>
    </row>
    <row r="35" spans="1:18">
      <c r="A35" s="71" t="s">
        <v>323</v>
      </c>
      <c r="B35" t="s">
        <v>342</v>
      </c>
      <c r="C35" t="s">
        <v>400</v>
      </c>
      <c r="D35" t="s">
        <v>401</v>
      </c>
      <c r="E35">
        <v>20</v>
      </c>
      <c r="F35" s="70">
        <f>VLOOKUP(E35, sprintday!$A$6:$C$32, 2, FALSE)</f>
        <v>46048</v>
      </c>
      <c r="G35" s="70">
        <f>VLOOKUP(E35, sprintday!$A$6:$C$32, 3, FALSE)</f>
        <v>46059</v>
      </c>
      <c r="H35" s="87">
        <v>1</v>
      </c>
      <c r="I35" s="86" t="s">
        <v>327</v>
      </c>
      <c r="J35" s="86"/>
      <c r="K35" s="86"/>
      <c r="N35">
        <v>36</v>
      </c>
      <c r="O35" s="36">
        <v>46272</v>
      </c>
      <c r="P35" s="36">
        <v>46283</v>
      </c>
      <c r="Q35" t="s">
        <v>301</v>
      </c>
      <c r="R35">
        <v>1</v>
      </c>
    </row>
    <row r="36" spans="1:18">
      <c r="A36" s="71" t="s">
        <v>323</v>
      </c>
      <c r="B36" t="s">
        <v>342</v>
      </c>
      <c r="C36" t="s">
        <v>402</v>
      </c>
      <c r="D36" t="s">
        <v>403</v>
      </c>
      <c r="E36">
        <v>20</v>
      </c>
      <c r="F36" s="70">
        <f>VLOOKUP(E36, sprintday!$A$6:$C$32, 2, FALSE)</f>
        <v>46048</v>
      </c>
      <c r="G36" s="70">
        <f>VLOOKUP(E36, sprintday!$A$6:$C$32, 3, FALSE)</f>
        <v>46059</v>
      </c>
      <c r="H36" s="87">
        <v>1</v>
      </c>
      <c r="I36" s="86" t="s">
        <v>327</v>
      </c>
      <c r="J36" s="86"/>
      <c r="K36" s="86"/>
      <c r="N36">
        <v>37</v>
      </c>
      <c r="O36" s="36">
        <v>46286</v>
      </c>
      <c r="P36" s="36">
        <v>46297</v>
      </c>
      <c r="Q36" t="s">
        <v>301</v>
      </c>
      <c r="R36">
        <v>1</v>
      </c>
    </row>
    <row r="37" spans="1:18">
      <c r="A37" s="71" t="s">
        <v>323</v>
      </c>
      <c r="B37" t="s">
        <v>342</v>
      </c>
      <c r="C37" t="s">
        <v>404</v>
      </c>
      <c r="D37" t="s">
        <v>405</v>
      </c>
      <c r="E37">
        <v>20</v>
      </c>
      <c r="F37" s="70">
        <f>VLOOKUP(E37, sprintday!$A$6:$C$32, 2, FALSE)</f>
        <v>46048</v>
      </c>
      <c r="G37" s="70">
        <f>VLOOKUP(E37, sprintday!$A$6:$C$32, 3, FALSE)</f>
        <v>46059</v>
      </c>
      <c r="H37" s="87">
        <v>1</v>
      </c>
      <c r="I37" s="86" t="s">
        <v>327</v>
      </c>
      <c r="J37" s="86"/>
      <c r="K37" s="86"/>
      <c r="N37">
        <v>38</v>
      </c>
      <c r="O37" s="36">
        <v>46300</v>
      </c>
      <c r="P37" s="36">
        <v>46311</v>
      </c>
      <c r="Q37" t="s">
        <v>303</v>
      </c>
      <c r="R37">
        <v>1</v>
      </c>
    </row>
    <row r="38" spans="1:18">
      <c r="A38" s="71" t="s">
        <v>323</v>
      </c>
      <c r="B38" t="s">
        <v>342</v>
      </c>
      <c r="C38" t="s">
        <v>406</v>
      </c>
      <c r="D38" t="s">
        <v>407</v>
      </c>
      <c r="E38">
        <v>21</v>
      </c>
      <c r="F38" s="70">
        <f>VLOOKUP(E38, sprintday!$A$6:$C$32, 2, FALSE)</f>
        <v>46062</v>
      </c>
      <c r="G38" s="70">
        <f>VLOOKUP(E38, sprintday!$A$6:$C$32, 3, FALSE)</f>
        <v>46073</v>
      </c>
      <c r="H38" s="87">
        <v>1</v>
      </c>
      <c r="I38" s="86" t="s">
        <v>327</v>
      </c>
      <c r="J38" s="86"/>
      <c r="K38" s="86"/>
      <c r="N38">
        <v>39</v>
      </c>
      <c r="O38" s="36">
        <v>46314</v>
      </c>
      <c r="P38" s="36">
        <v>46325</v>
      </c>
      <c r="Q38" t="s">
        <v>303</v>
      </c>
      <c r="R38">
        <v>1</v>
      </c>
    </row>
    <row r="39" spans="1:18">
      <c r="A39" s="71" t="s">
        <v>323</v>
      </c>
      <c r="B39" t="s">
        <v>342</v>
      </c>
      <c r="C39" t="s">
        <v>408</v>
      </c>
      <c r="D39" t="s">
        <v>409</v>
      </c>
      <c r="E39">
        <v>21</v>
      </c>
      <c r="F39" s="70">
        <f>VLOOKUP(E39, sprintday!$A$6:$C$32, 2, FALSE)</f>
        <v>46062</v>
      </c>
      <c r="G39" s="70">
        <f>VLOOKUP(E39, sprintday!$A$6:$C$32, 3, FALSE)</f>
        <v>46073</v>
      </c>
      <c r="H39" s="87">
        <v>1</v>
      </c>
      <c r="I39" s="86" t="s">
        <v>327</v>
      </c>
      <c r="J39" s="86"/>
      <c r="K39" s="86"/>
      <c r="N39">
        <v>40</v>
      </c>
      <c r="O39" s="36">
        <v>46328</v>
      </c>
      <c r="P39" s="36">
        <v>46339</v>
      </c>
      <c r="Q39" t="s">
        <v>303</v>
      </c>
      <c r="R39">
        <v>1</v>
      </c>
    </row>
    <row r="40" spans="1:18">
      <c r="A40" s="71" t="s">
        <v>323</v>
      </c>
      <c r="B40" t="s">
        <v>342</v>
      </c>
      <c r="C40" t="s">
        <v>410</v>
      </c>
      <c r="D40" t="s">
        <v>411</v>
      </c>
      <c r="E40">
        <v>21</v>
      </c>
      <c r="F40" s="70">
        <f>VLOOKUP(E40, sprintday!$A$6:$C$32, 2, FALSE)</f>
        <v>46062</v>
      </c>
      <c r="G40" s="70">
        <f>VLOOKUP(E40, sprintday!$A$6:$C$32, 3, FALSE)</f>
        <v>46073</v>
      </c>
      <c r="H40" s="87">
        <v>1</v>
      </c>
      <c r="I40" s="86" t="s">
        <v>327</v>
      </c>
      <c r="J40" s="86"/>
      <c r="K40" s="86"/>
      <c r="N40">
        <v>41</v>
      </c>
      <c r="O40" s="36">
        <v>46342</v>
      </c>
      <c r="P40" s="36">
        <v>46353</v>
      </c>
      <c r="Q40" t="s">
        <v>303</v>
      </c>
      <c r="R40">
        <v>1</v>
      </c>
    </row>
    <row r="41" spans="1:18">
      <c r="A41" s="71" t="s">
        <v>323</v>
      </c>
      <c r="B41" t="s">
        <v>342</v>
      </c>
      <c r="C41" t="s">
        <v>412</v>
      </c>
      <c r="D41" t="s">
        <v>413</v>
      </c>
      <c r="E41">
        <v>21</v>
      </c>
      <c r="F41" s="70">
        <f>VLOOKUP(E41, sprintday!$A$6:$C$32, 2, FALSE)</f>
        <v>46062</v>
      </c>
      <c r="G41" s="70">
        <f>VLOOKUP(E41, sprintday!$A$6:$C$32, 3, FALSE)</f>
        <v>46073</v>
      </c>
      <c r="H41" s="87">
        <v>1</v>
      </c>
      <c r="I41" s="86" t="s">
        <v>327</v>
      </c>
      <c r="J41" s="86"/>
      <c r="K41" s="86"/>
      <c r="M41" t="s">
        <v>414</v>
      </c>
      <c r="R41">
        <v>7</v>
      </c>
    </row>
    <row r="42" spans="1:18">
      <c r="A42" s="71" t="s">
        <v>323</v>
      </c>
      <c r="B42" t="s">
        <v>342</v>
      </c>
      <c r="C42" t="s">
        <v>415</v>
      </c>
      <c r="D42" t="s">
        <v>416</v>
      </c>
      <c r="E42">
        <v>21</v>
      </c>
      <c r="F42" s="70">
        <f>VLOOKUP(E42, sprintday!$A$6:$C$32, 2, FALSE)</f>
        <v>46062</v>
      </c>
      <c r="G42" s="70">
        <f>VLOOKUP(E42, sprintday!$A$6:$C$32, 3, FALSE)</f>
        <v>46073</v>
      </c>
      <c r="H42" s="87">
        <v>1</v>
      </c>
      <c r="I42" s="86" t="s">
        <v>327</v>
      </c>
      <c r="J42" s="86"/>
      <c r="K42" s="86"/>
      <c r="N42">
        <v>30</v>
      </c>
      <c r="O42" s="36">
        <v>46188</v>
      </c>
      <c r="P42" s="36">
        <v>46199</v>
      </c>
      <c r="Q42" t="s">
        <v>414</v>
      </c>
      <c r="R42">
        <v>7</v>
      </c>
    </row>
    <row r="43" spans="1:18">
      <c r="A43" s="71" t="s">
        <v>323</v>
      </c>
      <c r="B43" t="s">
        <v>342</v>
      </c>
      <c r="C43" t="s">
        <v>417</v>
      </c>
      <c r="D43" t="s">
        <v>418</v>
      </c>
      <c r="E43">
        <v>21</v>
      </c>
      <c r="F43" s="70">
        <f>VLOOKUP(E43, sprintday!$A$6:$C$32, 2, FALSE)</f>
        <v>46062</v>
      </c>
      <c r="G43" s="70">
        <f>VLOOKUP(E43, sprintday!$A$6:$C$32, 3, FALSE)</f>
        <v>46073</v>
      </c>
      <c r="H43" s="87">
        <v>1</v>
      </c>
      <c r="I43" s="86" t="s">
        <v>327</v>
      </c>
      <c r="J43" s="86"/>
      <c r="K43" s="86"/>
      <c r="M43" t="s">
        <v>346</v>
      </c>
      <c r="R43">
        <v>162</v>
      </c>
    </row>
    <row r="44" spans="1:18">
      <c r="A44" s="71" t="s">
        <v>323</v>
      </c>
      <c r="B44" t="s">
        <v>342</v>
      </c>
      <c r="C44" t="s">
        <v>419</v>
      </c>
      <c r="D44" t="s">
        <v>420</v>
      </c>
      <c r="E44">
        <v>21</v>
      </c>
      <c r="F44" s="70">
        <f>VLOOKUP(E44, sprintday!$A$6:$C$32, 2, FALSE)</f>
        <v>46062</v>
      </c>
      <c r="G44" s="70">
        <f>VLOOKUP(E44, sprintday!$A$6:$C$32, 3, FALSE)</f>
        <v>46073</v>
      </c>
      <c r="H44" s="87">
        <v>1</v>
      </c>
      <c r="I44" s="86" t="s">
        <v>327</v>
      </c>
      <c r="J44" s="86"/>
      <c r="K44" s="86"/>
    </row>
    <row r="45" spans="1:18">
      <c r="A45" s="71" t="s">
        <v>323</v>
      </c>
      <c r="B45" t="s">
        <v>342</v>
      </c>
      <c r="C45" t="s">
        <v>421</v>
      </c>
      <c r="D45" t="s">
        <v>422</v>
      </c>
      <c r="E45">
        <v>21</v>
      </c>
      <c r="F45" s="70">
        <f>VLOOKUP(E45, sprintday!$A$6:$C$32, 2, FALSE)</f>
        <v>46062</v>
      </c>
      <c r="G45" s="70">
        <f>VLOOKUP(E45, sprintday!$A$6:$C$32, 3, FALSE)</f>
        <v>46073</v>
      </c>
      <c r="H45" s="87">
        <v>1</v>
      </c>
      <c r="I45" s="86" t="s">
        <v>327</v>
      </c>
      <c r="J45" s="86"/>
      <c r="K45" s="86"/>
      <c r="M45" s="12"/>
    </row>
    <row r="46" spans="1:18">
      <c r="A46" s="71" t="s">
        <v>323</v>
      </c>
      <c r="B46" t="s">
        <v>349</v>
      </c>
      <c r="C46" t="s">
        <v>423</v>
      </c>
      <c r="D46" t="s">
        <v>424</v>
      </c>
      <c r="E46">
        <v>22</v>
      </c>
      <c r="F46" s="70">
        <f>VLOOKUP(E46, sprintday!$A$6:$C$32, 2, FALSE)</f>
        <v>46076</v>
      </c>
      <c r="G46" s="70">
        <f>VLOOKUP(E46, sprintday!$A$6:$C$32, 3, FALSE)</f>
        <v>46087</v>
      </c>
      <c r="H46" s="87">
        <v>1</v>
      </c>
      <c r="I46" s="86" t="s">
        <v>327</v>
      </c>
      <c r="J46" s="86"/>
      <c r="K46" s="86"/>
    </row>
    <row r="47" spans="1:18">
      <c r="A47" s="71" t="s">
        <v>323</v>
      </c>
      <c r="B47" t="s">
        <v>349</v>
      </c>
      <c r="C47" t="s">
        <v>425</v>
      </c>
      <c r="D47" t="s">
        <v>426</v>
      </c>
      <c r="E47">
        <v>22</v>
      </c>
      <c r="F47" s="70">
        <f>VLOOKUP(E47, sprintday!$A$6:$C$32, 2, FALSE)</f>
        <v>46076</v>
      </c>
      <c r="G47" s="70">
        <f>VLOOKUP(E47, sprintday!$A$6:$C$32, 3, FALSE)</f>
        <v>46087</v>
      </c>
      <c r="H47" s="87">
        <v>1</v>
      </c>
      <c r="I47" s="86" t="s">
        <v>327</v>
      </c>
      <c r="J47" s="86"/>
      <c r="K47" s="86"/>
    </row>
    <row r="48" spans="1:18">
      <c r="A48" s="71" t="s">
        <v>323</v>
      </c>
      <c r="B48" t="s">
        <v>349</v>
      </c>
      <c r="C48" t="s">
        <v>427</v>
      </c>
      <c r="D48" t="s">
        <v>428</v>
      </c>
      <c r="E48">
        <v>22</v>
      </c>
      <c r="F48" s="70">
        <f>VLOOKUP(E48, sprintday!$A$6:$C$32, 2, FALSE)</f>
        <v>46076</v>
      </c>
      <c r="G48" s="70">
        <f>VLOOKUP(E48, sprintday!$A$6:$C$32, 3, FALSE)</f>
        <v>46087</v>
      </c>
      <c r="H48" s="87">
        <v>1</v>
      </c>
      <c r="I48" s="86" t="s">
        <v>327</v>
      </c>
      <c r="J48" s="86"/>
      <c r="K48" s="86"/>
    </row>
    <row r="49" spans="1:11">
      <c r="A49" s="71" t="s">
        <v>323</v>
      </c>
      <c r="B49" t="s">
        <v>349</v>
      </c>
      <c r="C49" t="s">
        <v>429</v>
      </c>
      <c r="D49" t="s">
        <v>430</v>
      </c>
      <c r="E49">
        <v>22</v>
      </c>
      <c r="F49" s="70">
        <f>VLOOKUP(E49, sprintday!$A$6:$C$32, 2, FALSE)</f>
        <v>46076</v>
      </c>
      <c r="G49" s="70">
        <f>VLOOKUP(E49, sprintday!$A$6:$C$32, 3, FALSE)</f>
        <v>46087</v>
      </c>
      <c r="H49" s="87">
        <v>1</v>
      </c>
      <c r="I49" s="86" t="s">
        <v>327</v>
      </c>
      <c r="J49" s="86"/>
      <c r="K49" s="86"/>
    </row>
    <row r="50" spans="1:11">
      <c r="A50" s="71" t="s">
        <v>323</v>
      </c>
      <c r="B50" t="s">
        <v>349</v>
      </c>
      <c r="C50" t="s">
        <v>431</v>
      </c>
      <c r="D50" t="s">
        <v>432</v>
      </c>
      <c r="E50">
        <v>22</v>
      </c>
      <c r="F50" s="70">
        <f>VLOOKUP(E50, sprintday!$A$6:$C$32, 2, FALSE)</f>
        <v>46076</v>
      </c>
      <c r="G50" s="70">
        <f>VLOOKUP(E50, sprintday!$A$6:$C$32, 3, FALSE)</f>
        <v>46087</v>
      </c>
      <c r="H50" s="87">
        <v>1</v>
      </c>
      <c r="I50" s="86" t="s">
        <v>327</v>
      </c>
      <c r="J50" s="86"/>
      <c r="K50" s="86"/>
    </row>
    <row r="51" spans="1:11">
      <c r="A51" s="71" t="s">
        <v>323</v>
      </c>
      <c r="B51" t="s">
        <v>349</v>
      </c>
      <c r="C51" t="s">
        <v>433</v>
      </c>
      <c r="D51" t="s">
        <v>434</v>
      </c>
      <c r="E51">
        <v>22</v>
      </c>
      <c r="F51" s="70">
        <f>VLOOKUP(E51, sprintday!$A$6:$C$32, 2, FALSE)</f>
        <v>46076</v>
      </c>
      <c r="G51" s="70">
        <f>VLOOKUP(E51, sprintday!$A$6:$C$32, 3, FALSE)</f>
        <v>46087</v>
      </c>
      <c r="H51" s="87">
        <v>1</v>
      </c>
      <c r="I51" s="86" t="s">
        <v>327</v>
      </c>
      <c r="J51" s="86"/>
      <c r="K51" s="86"/>
    </row>
    <row r="52" spans="1:11">
      <c r="A52" s="71" t="s">
        <v>323</v>
      </c>
      <c r="B52" t="s">
        <v>349</v>
      </c>
      <c r="C52" t="s">
        <v>435</v>
      </c>
      <c r="D52" t="s">
        <v>436</v>
      </c>
      <c r="E52">
        <v>22</v>
      </c>
      <c r="F52" s="70">
        <f>VLOOKUP(E52, sprintday!$A$6:$C$32, 2, FALSE)</f>
        <v>46076</v>
      </c>
      <c r="G52" s="70">
        <f>VLOOKUP(E52, sprintday!$A$6:$C$32, 3, FALSE)</f>
        <v>46087</v>
      </c>
      <c r="H52" s="87">
        <v>1</v>
      </c>
      <c r="I52" s="86" t="s">
        <v>327</v>
      </c>
      <c r="J52" s="86"/>
      <c r="K52" s="86"/>
    </row>
    <row r="53" spans="1:11">
      <c r="A53" s="71" t="s">
        <v>323</v>
      </c>
      <c r="B53" t="s">
        <v>342</v>
      </c>
      <c r="C53" t="s">
        <v>437</v>
      </c>
      <c r="D53" t="s">
        <v>438</v>
      </c>
      <c r="E53">
        <v>22</v>
      </c>
      <c r="F53" s="70">
        <f>VLOOKUP(E53, sprintday!$A$6:$C$32, 2, FALSE)</f>
        <v>46076</v>
      </c>
      <c r="G53" s="70">
        <f>VLOOKUP(E53, sprintday!$A$6:$C$32, 3, FALSE)</f>
        <v>46087</v>
      </c>
      <c r="H53" s="87">
        <v>1</v>
      </c>
      <c r="I53" s="86" t="s">
        <v>327</v>
      </c>
      <c r="J53" s="86"/>
      <c r="K53" s="86"/>
    </row>
    <row r="54" spans="1:11">
      <c r="A54" s="71" t="s">
        <v>323</v>
      </c>
      <c r="B54" t="s">
        <v>342</v>
      </c>
      <c r="C54" t="s">
        <v>439</v>
      </c>
      <c r="D54" t="s">
        <v>440</v>
      </c>
      <c r="E54">
        <v>22</v>
      </c>
      <c r="F54" s="70">
        <f>VLOOKUP(E54, sprintday!$A$6:$C$32, 2, FALSE)</f>
        <v>46076</v>
      </c>
      <c r="G54" s="70">
        <f>VLOOKUP(E54, sprintday!$A$6:$C$32, 3, FALSE)</f>
        <v>46087</v>
      </c>
      <c r="H54" s="87">
        <v>1</v>
      </c>
      <c r="I54" s="86" t="s">
        <v>327</v>
      </c>
      <c r="J54" s="86"/>
      <c r="K54" s="86"/>
    </row>
    <row r="55" spans="1:11">
      <c r="A55" s="71" t="s">
        <v>323</v>
      </c>
      <c r="B55" t="s">
        <v>342</v>
      </c>
      <c r="C55" t="s">
        <v>441</v>
      </c>
      <c r="D55" t="s">
        <v>442</v>
      </c>
      <c r="E55">
        <v>22</v>
      </c>
      <c r="F55" s="70">
        <f>VLOOKUP(E55, sprintday!$A$6:$C$32, 2, FALSE)</f>
        <v>46076</v>
      </c>
      <c r="G55" s="70">
        <f>VLOOKUP(E55, sprintday!$A$6:$C$32, 3, FALSE)</f>
        <v>46087</v>
      </c>
      <c r="H55" s="87">
        <v>1</v>
      </c>
      <c r="I55" s="86" t="s">
        <v>327</v>
      </c>
      <c r="J55" s="86"/>
      <c r="K55" s="86"/>
    </row>
    <row r="56" spans="1:11">
      <c r="A56" s="71" t="s">
        <v>323</v>
      </c>
      <c r="B56" t="s">
        <v>342</v>
      </c>
      <c r="C56" t="s">
        <v>443</v>
      </c>
      <c r="D56" t="s">
        <v>444</v>
      </c>
      <c r="E56">
        <v>22</v>
      </c>
      <c r="F56" s="70">
        <f>VLOOKUP(E56, sprintday!$A$6:$C$32, 2, FALSE)</f>
        <v>46076</v>
      </c>
      <c r="G56" s="70">
        <f>VLOOKUP(E56, sprintday!$A$6:$C$32, 3, FALSE)</f>
        <v>46087</v>
      </c>
      <c r="H56" s="87">
        <v>1</v>
      </c>
      <c r="I56" s="86" t="s">
        <v>327</v>
      </c>
      <c r="J56" s="86"/>
      <c r="K56" s="86"/>
    </row>
    <row r="57" spans="1:11">
      <c r="A57" s="71" t="s">
        <v>323</v>
      </c>
      <c r="B57" t="s">
        <v>342</v>
      </c>
      <c r="C57" t="s">
        <v>445</v>
      </c>
      <c r="D57" t="s">
        <v>446</v>
      </c>
      <c r="E57">
        <v>23</v>
      </c>
      <c r="F57" s="70">
        <f>VLOOKUP(E57, sprintday!$A$6:$C$32, 2, FALSE)</f>
        <v>46090</v>
      </c>
      <c r="G57" s="70">
        <f>VLOOKUP(E57, sprintday!$A$6:$C$32, 3, FALSE)</f>
        <v>46101</v>
      </c>
      <c r="H57" s="87">
        <v>1</v>
      </c>
      <c r="I57" s="86" t="s">
        <v>327</v>
      </c>
      <c r="J57" s="86"/>
      <c r="K57" s="86"/>
    </row>
    <row r="58" spans="1:11">
      <c r="A58" s="71" t="s">
        <v>323</v>
      </c>
      <c r="B58" t="s">
        <v>342</v>
      </c>
      <c r="C58" t="s">
        <v>447</v>
      </c>
      <c r="D58" t="s">
        <v>448</v>
      </c>
      <c r="E58">
        <v>23</v>
      </c>
      <c r="F58" s="70">
        <f>VLOOKUP(E58, sprintday!$A$6:$C$32, 2, FALSE)</f>
        <v>46090</v>
      </c>
      <c r="G58" s="70">
        <f>VLOOKUP(E58, sprintday!$A$6:$C$32, 3, FALSE)</f>
        <v>46101</v>
      </c>
      <c r="H58" s="87">
        <v>1</v>
      </c>
      <c r="I58" s="86" t="s">
        <v>327</v>
      </c>
      <c r="J58" s="86"/>
      <c r="K58" s="86"/>
    </row>
    <row r="59" spans="1:11">
      <c r="A59" s="71" t="s">
        <v>323</v>
      </c>
      <c r="B59" t="s">
        <v>342</v>
      </c>
      <c r="C59" t="s">
        <v>449</v>
      </c>
      <c r="D59" t="s">
        <v>450</v>
      </c>
      <c r="E59">
        <v>23</v>
      </c>
      <c r="F59" s="70">
        <f>VLOOKUP(E59, sprintday!$A$6:$C$32, 2, FALSE)</f>
        <v>46090</v>
      </c>
      <c r="G59" s="70">
        <f>VLOOKUP(E59, sprintday!$A$6:$C$32, 3, FALSE)</f>
        <v>46101</v>
      </c>
      <c r="H59" s="87">
        <v>1</v>
      </c>
      <c r="I59" s="86" t="s">
        <v>327</v>
      </c>
      <c r="J59" s="86"/>
      <c r="K59" s="86"/>
    </row>
    <row r="60" spans="1:11">
      <c r="A60" s="71" t="s">
        <v>323</v>
      </c>
      <c r="B60" t="s">
        <v>342</v>
      </c>
      <c r="C60" t="s">
        <v>451</v>
      </c>
      <c r="D60" t="s">
        <v>452</v>
      </c>
      <c r="E60">
        <v>23</v>
      </c>
      <c r="F60" s="70">
        <f>VLOOKUP(E60, sprintday!$A$6:$C$32, 2, FALSE)</f>
        <v>46090</v>
      </c>
      <c r="G60" s="70">
        <f>VLOOKUP(E60, sprintday!$A$6:$C$32, 3, FALSE)</f>
        <v>46101</v>
      </c>
      <c r="H60" s="87">
        <v>1</v>
      </c>
      <c r="I60" s="86" t="s">
        <v>327</v>
      </c>
      <c r="J60" s="86"/>
      <c r="K60" s="86"/>
    </row>
    <row r="61" spans="1:11">
      <c r="A61" s="71" t="s">
        <v>323</v>
      </c>
      <c r="B61" t="s">
        <v>342</v>
      </c>
      <c r="C61" t="s">
        <v>453</v>
      </c>
      <c r="D61" t="s">
        <v>454</v>
      </c>
      <c r="E61">
        <v>23</v>
      </c>
      <c r="F61" s="70">
        <f>VLOOKUP(E61, sprintday!$A$6:$C$32, 2, FALSE)</f>
        <v>46090</v>
      </c>
      <c r="G61" s="70">
        <f>VLOOKUP(E61, sprintday!$A$6:$C$32, 3, FALSE)</f>
        <v>46101</v>
      </c>
      <c r="H61" s="87">
        <v>1</v>
      </c>
      <c r="I61" s="86" t="s">
        <v>327</v>
      </c>
      <c r="J61" s="86"/>
      <c r="K61" s="86"/>
    </row>
    <row r="62" spans="1:11">
      <c r="A62" s="71" t="s">
        <v>323</v>
      </c>
      <c r="B62" t="s">
        <v>342</v>
      </c>
      <c r="C62" t="s">
        <v>455</v>
      </c>
      <c r="D62" t="s">
        <v>456</v>
      </c>
      <c r="E62">
        <v>23</v>
      </c>
      <c r="F62" s="70">
        <f>VLOOKUP(E62, sprintday!$A$6:$C$32, 2, FALSE)</f>
        <v>46090</v>
      </c>
      <c r="G62" s="70">
        <f>VLOOKUP(E62, sprintday!$A$6:$C$32, 3, FALSE)</f>
        <v>46101</v>
      </c>
      <c r="H62" s="87">
        <v>1</v>
      </c>
      <c r="I62" s="86" t="s">
        <v>327</v>
      </c>
      <c r="J62" s="86"/>
      <c r="K62" s="86"/>
    </row>
    <row r="63" spans="1:11">
      <c r="A63" s="71" t="s">
        <v>323</v>
      </c>
      <c r="B63" t="s">
        <v>342</v>
      </c>
      <c r="C63" t="s">
        <v>457</v>
      </c>
      <c r="D63" t="s">
        <v>458</v>
      </c>
      <c r="E63">
        <v>23</v>
      </c>
      <c r="F63" s="70">
        <f>VLOOKUP(E63, sprintday!$A$6:$C$32, 2, FALSE)</f>
        <v>46090</v>
      </c>
      <c r="G63" s="70">
        <f>VLOOKUP(E63, sprintday!$A$6:$C$32, 3, FALSE)</f>
        <v>46101</v>
      </c>
      <c r="H63" s="87">
        <v>1</v>
      </c>
      <c r="I63" s="86" t="s">
        <v>327</v>
      </c>
      <c r="J63" s="86"/>
      <c r="K63" s="86"/>
    </row>
    <row r="64" spans="1:11">
      <c r="A64" s="71" t="s">
        <v>323</v>
      </c>
      <c r="B64" t="s">
        <v>342</v>
      </c>
      <c r="C64" t="s">
        <v>459</v>
      </c>
      <c r="D64" t="s">
        <v>460</v>
      </c>
      <c r="E64">
        <v>24</v>
      </c>
      <c r="F64" s="70">
        <f>VLOOKUP(E64, sprintday!$A$6:$C$32, 2, FALSE)</f>
        <v>46104</v>
      </c>
      <c r="G64" s="70">
        <f>VLOOKUP(E64, sprintday!$A$6:$C$32, 3, FALSE)</f>
        <v>46115</v>
      </c>
      <c r="H64" s="87">
        <v>1</v>
      </c>
      <c r="I64" s="86" t="s">
        <v>327</v>
      </c>
      <c r="J64" s="86"/>
      <c r="K64" s="86"/>
    </row>
    <row r="65" spans="1:11">
      <c r="A65" s="71" t="s">
        <v>323</v>
      </c>
      <c r="B65" t="s">
        <v>342</v>
      </c>
      <c r="C65" t="s">
        <v>461</v>
      </c>
      <c r="D65" t="s">
        <v>462</v>
      </c>
      <c r="E65">
        <v>24</v>
      </c>
      <c r="F65" s="70">
        <f>VLOOKUP(E65, sprintday!$A$6:$C$32, 2, FALSE)</f>
        <v>46104</v>
      </c>
      <c r="G65" s="70">
        <f>VLOOKUP(E65, sprintday!$A$6:$C$32, 3, FALSE)</f>
        <v>46115</v>
      </c>
      <c r="H65" s="87">
        <v>1</v>
      </c>
      <c r="I65" s="86" t="s">
        <v>327</v>
      </c>
      <c r="J65" s="86"/>
      <c r="K65" s="86"/>
    </row>
    <row r="66" spans="1:11">
      <c r="A66" s="71" t="s">
        <v>323</v>
      </c>
      <c r="B66" t="s">
        <v>342</v>
      </c>
      <c r="C66" t="s">
        <v>463</v>
      </c>
      <c r="D66" t="s">
        <v>464</v>
      </c>
      <c r="E66">
        <v>24</v>
      </c>
      <c r="F66" s="70">
        <f>VLOOKUP(E66, sprintday!$A$6:$C$32, 2, FALSE)</f>
        <v>46104</v>
      </c>
      <c r="G66" s="70">
        <f>VLOOKUP(E66, sprintday!$A$6:$C$32, 3, FALSE)</f>
        <v>46115</v>
      </c>
      <c r="H66" s="87">
        <v>1</v>
      </c>
      <c r="I66" s="86" t="s">
        <v>327</v>
      </c>
      <c r="J66" s="86"/>
      <c r="K66" s="86"/>
    </row>
    <row r="67" spans="1:11">
      <c r="A67" s="71" t="s">
        <v>323</v>
      </c>
      <c r="B67" t="s">
        <v>342</v>
      </c>
      <c r="C67" t="s">
        <v>465</v>
      </c>
      <c r="D67" t="s">
        <v>466</v>
      </c>
      <c r="E67">
        <v>24</v>
      </c>
      <c r="F67" s="70">
        <f>VLOOKUP(E67, sprintday!$A$6:$C$32, 2, FALSE)</f>
        <v>46104</v>
      </c>
      <c r="G67" s="70">
        <f>VLOOKUP(E67, sprintday!$A$6:$C$32, 3, FALSE)</f>
        <v>46115</v>
      </c>
      <c r="H67" s="87">
        <v>1</v>
      </c>
      <c r="I67" s="86" t="s">
        <v>327</v>
      </c>
      <c r="J67" s="86"/>
      <c r="K67" s="86"/>
    </row>
    <row r="68" spans="1:11">
      <c r="A68" s="71" t="s">
        <v>323</v>
      </c>
      <c r="B68" t="s">
        <v>342</v>
      </c>
      <c r="C68" t="s">
        <v>467</v>
      </c>
      <c r="D68" t="s">
        <v>468</v>
      </c>
      <c r="E68">
        <v>24</v>
      </c>
      <c r="F68" s="70">
        <f>VLOOKUP(E68, sprintday!$A$6:$C$32, 2, FALSE)</f>
        <v>46104</v>
      </c>
      <c r="G68" s="70">
        <f>VLOOKUP(E68, sprintday!$A$6:$C$32, 3, FALSE)</f>
        <v>46115</v>
      </c>
      <c r="H68" s="87">
        <v>1</v>
      </c>
      <c r="I68" s="86" t="s">
        <v>327</v>
      </c>
      <c r="J68" s="86"/>
      <c r="K68" s="86"/>
    </row>
    <row r="69" spans="1:11">
      <c r="A69" s="71" t="s">
        <v>323</v>
      </c>
      <c r="B69" t="s">
        <v>342</v>
      </c>
      <c r="C69" t="s">
        <v>469</v>
      </c>
      <c r="D69" t="s">
        <v>470</v>
      </c>
      <c r="E69">
        <v>24</v>
      </c>
      <c r="F69" s="70">
        <f>VLOOKUP(E69, sprintday!$A$6:$C$32, 2, FALSE)</f>
        <v>46104</v>
      </c>
      <c r="G69" s="70">
        <f>VLOOKUP(E69, sprintday!$A$6:$C$32, 3, FALSE)</f>
        <v>46115</v>
      </c>
      <c r="H69" s="87">
        <v>1</v>
      </c>
      <c r="I69" s="86" t="s">
        <v>327</v>
      </c>
      <c r="J69" s="86"/>
      <c r="K69" s="86"/>
    </row>
    <row r="70" spans="1:11">
      <c r="A70" s="71" t="s">
        <v>323</v>
      </c>
      <c r="B70" t="s">
        <v>342</v>
      </c>
      <c r="C70" t="s">
        <v>471</v>
      </c>
      <c r="D70" t="s">
        <v>472</v>
      </c>
      <c r="E70">
        <v>24</v>
      </c>
      <c r="F70" s="70">
        <f>VLOOKUP(E70, sprintday!$A$6:$C$32, 2, FALSE)</f>
        <v>46104</v>
      </c>
      <c r="G70" s="70">
        <f>VLOOKUP(E70, sprintday!$A$6:$C$32, 3, FALSE)</f>
        <v>46115</v>
      </c>
      <c r="H70" s="87">
        <v>1</v>
      </c>
      <c r="I70" s="86" t="s">
        <v>327</v>
      </c>
      <c r="J70" s="86"/>
      <c r="K70" s="86"/>
    </row>
    <row r="71" spans="1:11">
      <c r="A71" s="71" t="s">
        <v>323</v>
      </c>
      <c r="B71" t="s">
        <v>342</v>
      </c>
      <c r="C71" t="s">
        <v>473</v>
      </c>
      <c r="D71" t="s">
        <v>474</v>
      </c>
      <c r="E71">
        <v>24</v>
      </c>
      <c r="F71" s="70">
        <f>VLOOKUP(E71, sprintday!$A$6:$C$32, 2, FALSE)</f>
        <v>46104</v>
      </c>
      <c r="G71" s="70">
        <f>VLOOKUP(E71, sprintday!$A$6:$C$32, 3, FALSE)</f>
        <v>46115</v>
      </c>
      <c r="H71" s="87">
        <v>1</v>
      </c>
      <c r="I71" s="86" t="s">
        <v>327</v>
      </c>
      <c r="J71" s="86"/>
      <c r="K71" s="86"/>
    </row>
    <row r="72" spans="1:11">
      <c r="A72" s="71" t="s">
        <v>323</v>
      </c>
      <c r="B72" t="s">
        <v>342</v>
      </c>
      <c r="C72" t="s">
        <v>475</v>
      </c>
      <c r="D72" t="s">
        <v>476</v>
      </c>
      <c r="E72">
        <v>24</v>
      </c>
      <c r="F72" s="70">
        <f>VLOOKUP(E72, sprintday!$A$6:$C$32, 2, FALSE)</f>
        <v>46104</v>
      </c>
      <c r="G72" s="70">
        <f>VLOOKUP(E72, sprintday!$A$6:$C$32, 3, FALSE)</f>
        <v>46115</v>
      </c>
      <c r="H72" s="87">
        <v>1</v>
      </c>
      <c r="I72" s="86" t="s">
        <v>327</v>
      </c>
      <c r="J72" s="86"/>
      <c r="K72" s="86"/>
    </row>
    <row r="73" spans="1:11">
      <c r="A73" s="71" t="s">
        <v>323</v>
      </c>
      <c r="B73" t="s">
        <v>342</v>
      </c>
      <c r="C73" t="s">
        <v>477</v>
      </c>
      <c r="D73" t="s">
        <v>478</v>
      </c>
      <c r="E73">
        <v>24</v>
      </c>
      <c r="F73" s="70">
        <f>VLOOKUP(E73, sprintday!$A$6:$C$32, 2, FALSE)</f>
        <v>46104</v>
      </c>
      <c r="G73" s="70">
        <f>VLOOKUP(E73, sprintday!$A$6:$C$32, 3, FALSE)</f>
        <v>46115</v>
      </c>
      <c r="H73" s="87">
        <v>1</v>
      </c>
      <c r="I73" s="86" t="s">
        <v>327</v>
      </c>
      <c r="J73" s="86"/>
      <c r="K73" s="86"/>
    </row>
    <row r="74" spans="1:11">
      <c r="A74" s="71" t="s">
        <v>323</v>
      </c>
      <c r="B74" t="s">
        <v>342</v>
      </c>
      <c r="C74" t="s">
        <v>479</v>
      </c>
      <c r="D74" t="s">
        <v>480</v>
      </c>
      <c r="E74">
        <v>24</v>
      </c>
      <c r="F74" s="70">
        <f>VLOOKUP(E74, sprintday!$A$6:$C$32, 2, FALSE)</f>
        <v>46104</v>
      </c>
      <c r="G74" s="70">
        <f>VLOOKUP(E74, sprintday!$A$6:$C$32, 3, FALSE)</f>
        <v>46115</v>
      </c>
      <c r="H74" s="87">
        <v>1</v>
      </c>
      <c r="I74" s="86" t="s">
        <v>327</v>
      </c>
      <c r="J74" s="86"/>
      <c r="K74" t="s">
        <v>338</v>
      </c>
    </row>
    <row r="75" spans="1:11">
      <c r="A75" s="71" t="s">
        <v>323</v>
      </c>
      <c r="B75" t="s">
        <v>342</v>
      </c>
      <c r="C75" t="s">
        <v>481</v>
      </c>
      <c r="D75" t="s">
        <v>482</v>
      </c>
      <c r="E75">
        <v>25</v>
      </c>
      <c r="F75" s="70">
        <f>VLOOKUP(E75, sprintday!$A$6:$C$32, 2, FALSE)</f>
        <v>46118</v>
      </c>
      <c r="G75" s="70">
        <f>VLOOKUP(E75, sprintday!$A$6:$C$32, 3, FALSE)</f>
        <v>46129</v>
      </c>
      <c r="H75" s="87">
        <v>1</v>
      </c>
      <c r="I75" s="86" t="s">
        <v>327</v>
      </c>
      <c r="J75" s="86"/>
    </row>
    <row r="76" spans="1:11">
      <c r="A76" s="71" t="s">
        <v>323</v>
      </c>
      <c r="B76" t="s">
        <v>342</v>
      </c>
      <c r="C76" t="s">
        <v>483</v>
      </c>
      <c r="D76" t="s">
        <v>484</v>
      </c>
      <c r="E76">
        <v>25</v>
      </c>
      <c r="F76" s="70">
        <f>VLOOKUP(E76, sprintday!$A$6:$C$32, 2, FALSE)</f>
        <v>46118</v>
      </c>
      <c r="G76" s="70">
        <f>VLOOKUP(E76, sprintday!$A$6:$C$32, 3, FALSE)</f>
        <v>46129</v>
      </c>
      <c r="H76" s="87">
        <v>1</v>
      </c>
      <c r="I76" s="86" t="s">
        <v>327</v>
      </c>
      <c r="J76" s="86"/>
    </row>
    <row r="77" spans="1:11">
      <c r="A77" s="71" t="s">
        <v>323</v>
      </c>
      <c r="B77" t="s">
        <v>342</v>
      </c>
      <c r="C77" t="s">
        <v>485</v>
      </c>
      <c r="D77" t="s">
        <v>486</v>
      </c>
      <c r="E77">
        <v>25</v>
      </c>
      <c r="F77" s="70">
        <f>VLOOKUP(E77, sprintday!$A$6:$C$32, 2, FALSE)</f>
        <v>46118</v>
      </c>
      <c r="G77" s="70">
        <f>VLOOKUP(E77, sprintday!$A$6:$C$32, 3, FALSE)</f>
        <v>46129</v>
      </c>
      <c r="H77" s="87">
        <v>1</v>
      </c>
      <c r="I77" s="86" t="s">
        <v>327</v>
      </c>
      <c r="J77" s="86"/>
    </row>
    <row r="78" spans="1:11">
      <c r="A78" s="71" t="s">
        <v>323</v>
      </c>
      <c r="B78" t="s">
        <v>342</v>
      </c>
      <c r="C78" t="s">
        <v>487</v>
      </c>
      <c r="D78" t="s">
        <v>488</v>
      </c>
      <c r="E78">
        <v>25</v>
      </c>
      <c r="F78" s="70">
        <f>VLOOKUP(E78, sprintday!$A$6:$C$32, 2, FALSE)</f>
        <v>46118</v>
      </c>
      <c r="G78" s="70">
        <f>VLOOKUP(E78, sprintday!$A$6:$C$32, 3, FALSE)</f>
        <v>46129</v>
      </c>
      <c r="H78" s="87">
        <v>1</v>
      </c>
      <c r="I78" s="86" t="s">
        <v>327</v>
      </c>
      <c r="J78" s="86"/>
      <c r="K78" t="s">
        <v>338</v>
      </c>
    </row>
    <row r="79" spans="1:11">
      <c r="A79" s="71" t="s">
        <v>323</v>
      </c>
      <c r="B79" t="s">
        <v>342</v>
      </c>
      <c r="C79" t="s">
        <v>489</v>
      </c>
      <c r="D79" t="s">
        <v>490</v>
      </c>
      <c r="E79">
        <v>25</v>
      </c>
      <c r="F79" s="70">
        <f>VLOOKUP(E79, sprintday!$A$6:$C$32, 2, FALSE)</f>
        <v>46118</v>
      </c>
      <c r="G79" s="70">
        <f>VLOOKUP(E79, sprintday!$A$6:$C$32, 3, FALSE)</f>
        <v>46129</v>
      </c>
      <c r="H79" s="87">
        <v>1</v>
      </c>
      <c r="I79" s="86" t="s">
        <v>327</v>
      </c>
      <c r="J79" s="86"/>
      <c r="K79" s="86"/>
    </row>
    <row r="80" spans="1:11">
      <c r="A80" s="71" t="s">
        <v>323</v>
      </c>
      <c r="B80" t="s">
        <v>342</v>
      </c>
      <c r="C80" t="s">
        <v>491</v>
      </c>
      <c r="D80" t="s">
        <v>492</v>
      </c>
      <c r="E80">
        <v>26</v>
      </c>
      <c r="F80" s="70">
        <f>VLOOKUP(E80, sprintday!$A$6:$C$32, 2, FALSE)</f>
        <v>46132</v>
      </c>
      <c r="G80" s="70">
        <f>VLOOKUP(E80, sprintday!$A$6:$C$32, 3, FALSE)</f>
        <v>46143</v>
      </c>
      <c r="H80" s="87">
        <v>1</v>
      </c>
      <c r="I80" s="86" t="s">
        <v>327</v>
      </c>
      <c r="J80" s="86"/>
      <c r="K80" s="86"/>
    </row>
    <row r="81" spans="1:11">
      <c r="A81" s="71" t="s">
        <v>323</v>
      </c>
      <c r="B81" t="s">
        <v>342</v>
      </c>
      <c r="C81" t="s">
        <v>493</v>
      </c>
      <c r="D81" t="s">
        <v>494</v>
      </c>
      <c r="E81">
        <v>26</v>
      </c>
      <c r="F81" s="70">
        <f>VLOOKUP(E81, sprintday!$A$6:$C$32, 2, FALSE)</f>
        <v>46132</v>
      </c>
      <c r="G81" s="70">
        <f>VLOOKUP(E81, sprintday!$A$6:$C$32, 3, FALSE)</f>
        <v>46143</v>
      </c>
      <c r="H81" s="87">
        <v>1</v>
      </c>
      <c r="I81" s="86" t="s">
        <v>327</v>
      </c>
      <c r="J81" s="86"/>
      <c r="K81" s="86"/>
    </row>
    <row r="82" spans="1:11">
      <c r="A82" s="71" t="s">
        <v>323</v>
      </c>
      <c r="B82" t="s">
        <v>342</v>
      </c>
      <c r="C82" t="s">
        <v>495</v>
      </c>
      <c r="D82" t="s">
        <v>496</v>
      </c>
      <c r="E82">
        <v>26</v>
      </c>
      <c r="F82" s="70">
        <f>VLOOKUP(E82, sprintday!$A$6:$C$32, 2, FALSE)</f>
        <v>46132</v>
      </c>
      <c r="G82" s="70">
        <f>VLOOKUP(E82, sprintday!$A$6:$C$32, 3, FALSE)</f>
        <v>46143</v>
      </c>
      <c r="H82" s="87">
        <v>1</v>
      </c>
      <c r="I82" s="86" t="s">
        <v>327</v>
      </c>
      <c r="J82" s="86"/>
      <c r="K82" s="86"/>
    </row>
    <row r="83" spans="1:11">
      <c r="A83" s="71" t="s">
        <v>323</v>
      </c>
      <c r="B83" t="s">
        <v>342</v>
      </c>
      <c r="C83" t="s">
        <v>497</v>
      </c>
      <c r="D83" t="s">
        <v>498</v>
      </c>
      <c r="E83">
        <v>26</v>
      </c>
      <c r="F83" s="70">
        <f>VLOOKUP(E83, sprintday!$A$6:$C$32, 2, FALSE)</f>
        <v>46132</v>
      </c>
      <c r="G83" s="70">
        <f>VLOOKUP(E83, sprintday!$A$6:$C$32, 3, FALSE)</f>
        <v>46143</v>
      </c>
      <c r="H83" s="87">
        <v>1</v>
      </c>
      <c r="I83" s="86" t="s">
        <v>327</v>
      </c>
      <c r="J83" s="86"/>
      <c r="K83" s="86"/>
    </row>
    <row r="84" spans="1:11">
      <c r="A84" s="71" t="s">
        <v>323</v>
      </c>
      <c r="B84" t="s">
        <v>342</v>
      </c>
      <c r="C84" t="s">
        <v>477</v>
      </c>
      <c r="D84" t="s">
        <v>478</v>
      </c>
      <c r="E84">
        <v>26</v>
      </c>
      <c r="F84" s="70">
        <f>VLOOKUP(E84, sprintday!$A$6:$C$32, 2, FALSE)</f>
        <v>46132</v>
      </c>
      <c r="G84" s="70">
        <f>VLOOKUP(E84, sprintday!$A$6:$C$32, 3, FALSE)</f>
        <v>46143</v>
      </c>
      <c r="H84" s="87">
        <v>1</v>
      </c>
      <c r="I84" s="86" t="s">
        <v>327</v>
      </c>
      <c r="J84" s="86"/>
      <c r="K84" s="86"/>
    </row>
    <row r="85" spans="1:11">
      <c r="A85" s="71" t="s">
        <v>323</v>
      </c>
      <c r="B85" t="s">
        <v>342</v>
      </c>
      <c r="C85" t="s">
        <v>499</v>
      </c>
      <c r="D85" t="s">
        <v>500</v>
      </c>
      <c r="E85">
        <v>26</v>
      </c>
      <c r="F85" s="70">
        <f>VLOOKUP(E85, sprintday!$A$6:$C$32, 2, FALSE)</f>
        <v>46132</v>
      </c>
      <c r="G85" s="70">
        <f>VLOOKUP(E85, sprintday!$A$6:$C$32, 3, FALSE)</f>
        <v>46143</v>
      </c>
      <c r="H85" s="87">
        <v>1</v>
      </c>
      <c r="I85" s="86" t="s">
        <v>327</v>
      </c>
      <c r="J85" s="86"/>
      <c r="K85" s="86"/>
    </row>
    <row r="86" spans="1:11">
      <c r="A86" s="71" t="s">
        <v>323</v>
      </c>
      <c r="B86" t="s">
        <v>342</v>
      </c>
      <c r="C86" t="s">
        <v>499</v>
      </c>
      <c r="D86" t="s">
        <v>500</v>
      </c>
      <c r="E86">
        <v>27</v>
      </c>
      <c r="F86" s="70">
        <f>VLOOKUP(E86, sprintday!$A$6:$C$32, 2, FALSE)</f>
        <v>46146</v>
      </c>
      <c r="G86" s="70">
        <f>VLOOKUP(E86, sprintday!$A$6:$C$32, 3, FALSE)</f>
        <v>46157</v>
      </c>
      <c r="H86" s="87">
        <v>1</v>
      </c>
      <c r="I86" s="86" t="s">
        <v>327</v>
      </c>
      <c r="J86" s="86"/>
      <c r="K86" s="86"/>
    </row>
    <row r="87" spans="1:11">
      <c r="A87" s="71" t="s">
        <v>323</v>
      </c>
      <c r="B87" t="s">
        <v>342</v>
      </c>
      <c r="C87" t="s">
        <v>501</v>
      </c>
      <c r="D87" t="s">
        <v>502</v>
      </c>
      <c r="E87">
        <v>27</v>
      </c>
      <c r="F87" s="70">
        <f>VLOOKUP(E87, sprintday!$A$6:$C$32, 2, FALSE)</f>
        <v>46146</v>
      </c>
      <c r="G87" s="70">
        <f>VLOOKUP(E87, sprintday!$A$6:$C$32, 3, FALSE)</f>
        <v>46157</v>
      </c>
      <c r="H87" s="87">
        <v>1</v>
      </c>
      <c r="I87" s="86" t="s">
        <v>327</v>
      </c>
      <c r="J87" s="86"/>
      <c r="K87" s="86"/>
    </row>
    <row r="88" spans="1:11">
      <c r="A88" s="71" t="s">
        <v>323</v>
      </c>
      <c r="B88" t="s">
        <v>342</v>
      </c>
      <c r="C88" t="s">
        <v>503</v>
      </c>
      <c r="D88" t="s">
        <v>504</v>
      </c>
      <c r="E88">
        <v>27</v>
      </c>
      <c r="F88" s="70">
        <f>VLOOKUP(E88, sprintday!$A$6:$C$32, 2, FALSE)</f>
        <v>46146</v>
      </c>
      <c r="G88" s="70">
        <f>VLOOKUP(E88, sprintday!$A$6:$C$32, 3, FALSE)</f>
        <v>46157</v>
      </c>
      <c r="H88" s="87">
        <v>1</v>
      </c>
      <c r="I88" s="86" t="s">
        <v>327</v>
      </c>
      <c r="J88" s="86"/>
      <c r="K88" s="86"/>
    </row>
    <row r="89" spans="1:11">
      <c r="A89" s="71" t="s">
        <v>323</v>
      </c>
      <c r="B89" t="s">
        <v>342</v>
      </c>
      <c r="C89" t="s">
        <v>505</v>
      </c>
      <c r="D89" t="s">
        <v>506</v>
      </c>
      <c r="E89">
        <v>27</v>
      </c>
      <c r="F89" s="70">
        <f>VLOOKUP(E89, sprintday!$A$6:$C$32, 2, FALSE)</f>
        <v>46146</v>
      </c>
      <c r="G89" s="70">
        <f>VLOOKUP(E89, sprintday!$A$6:$C$32, 3, FALSE)</f>
        <v>46157</v>
      </c>
      <c r="H89" s="87">
        <v>1</v>
      </c>
      <c r="I89" s="86" t="s">
        <v>327</v>
      </c>
      <c r="J89" s="86"/>
      <c r="K89" s="86"/>
    </row>
    <row r="90" spans="1:11">
      <c r="A90" s="71" t="s">
        <v>323</v>
      </c>
      <c r="B90" t="s">
        <v>342</v>
      </c>
      <c r="C90" t="s">
        <v>507</v>
      </c>
      <c r="D90" t="s">
        <v>508</v>
      </c>
      <c r="E90">
        <v>27</v>
      </c>
      <c r="F90" s="70">
        <f>VLOOKUP(E90, sprintday!$A$6:$C$32, 2, FALSE)</f>
        <v>46146</v>
      </c>
      <c r="G90" s="70">
        <f>VLOOKUP(E90, sprintday!$A$6:$C$32, 3, FALSE)</f>
        <v>46157</v>
      </c>
      <c r="H90" s="87">
        <v>1</v>
      </c>
      <c r="I90" s="86" t="s">
        <v>327</v>
      </c>
      <c r="J90" s="86"/>
      <c r="K90" s="86"/>
    </row>
    <row r="91" spans="1:11">
      <c r="A91" t="s">
        <v>338</v>
      </c>
      <c r="B91" t="s">
        <v>169</v>
      </c>
      <c r="C91" t="s">
        <v>509</v>
      </c>
      <c r="D91" t="s">
        <v>510</v>
      </c>
      <c r="E91">
        <v>27</v>
      </c>
      <c r="F91" s="70">
        <f>VLOOKUP(E91, sprintday!$A$6:$C$32, 2, FALSE)</f>
        <v>46146</v>
      </c>
      <c r="G91" s="70">
        <f>VLOOKUP(E91, sprintday!$A$6:$C$32, 3, FALSE)</f>
        <v>46157</v>
      </c>
      <c r="H91" s="87">
        <v>1</v>
      </c>
      <c r="I91" s="86" t="s">
        <v>327</v>
      </c>
      <c r="J91" s="86"/>
      <c r="K91" s="86"/>
    </row>
    <row r="92" spans="1:11">
      <c r="A92" t="s">
        <v>338</v>
      </c>
      <c r="B92" t="s">
        <v>169</v>
      </c>
      <c r="C92" t="s">
        <v>511</v>
      </c>
      <c r="D92" t="s">
        <v>512</v>
      </c>
      <c r="E92">
        <v>27</v>
      </c>
      <c r="F92" s="70">
        <f>VLOOKUP(E92, sprintday!$A$6:$C$32, 2, FALSE)</f>
        <v>46146</v>
      </c>
      <c r="G92" s="70">
        <f>VLOOKUP(E92, sprintday!$A$6:$C$32, 3, FALSE)</f>
        <v>46157</v>
      </c>
      <c r="H92" s="87">
        <v>1</v>
      </c>
      <c r="I92" s="86" t="s">
        <v>327</v>
      </c>
      <c r="J92" s="86"/>
      <c r="K92" s="86"/>
    </row>
    <row r="93" spans="1:11">
      <c r="A93" t="s">
        <v>338</v>
      </c>
      <c r="B93" t="s">
        <v>169</v>
      </c>
      <c r="C93" t="s">
        <v>513</v>
      </c>
      <c r="D93" t="s">
        <v>514</v>
      </c>
      <c r="E93">
        <v>27</v>
      </c>
      <c r="F93" s="70">
        <f>VLOOKUP(E93, sprintday!$A$6:$C$32, 2, FALSE)</f>
        <v>46146</v>
      </c>
      <c r="G93" s="70">
        <f>VLOOKUP(E93, sprintday!$A$6:$C$32, 3, FALSE)</f>
        <v>46157</v>
      </c>
      <c r="H93" s="87">
        <v>1</v>
      </c>
      <c r="I93" s="86" t="s">
        <v>327</v>
      </c>
      <c r="J93" s="86"/>
      <c r="K93" s="86"/>
    </row>
    <row r="94" spans="1:11">
      <c r="A94" t="s">
        <v>338</v>
      </c>
      <c r="B94" t="s">
        <v>169</v>
      </c>
      <c r="C94" t="s">
        <v>515</v>
      </c>
      <c r="D94" t="s">
        <v>516</v>
      </c>
      <c r="E94">
        <v>27</v>
      </c>
      <c r="F94" s="70">
        <f>VLOOKUP(E94, sprintday!$A$6:$C$32, 2, FALSE)</f>
        <v>46146</v>
      </c>
      <c r="G94" s="70">
        <f>VLOOKUP(E94, sprintday!$A$6:$C$32, 3, FALSE)</f>
        <v>46157</v>
      </c>
      <c r="H94" s="87">
        <v>1</v>
      </c>
      <c r="I94" s="86" t="s">
        <v>327</v>
      </c>
      <c r="J94" s="86"/>
      <c r="K94" s="86"/>
    </row>
    <row r="95" spans="1:11">
      <c r="A95" t="s">
        <v>338</v>
      </c>
      <c r="B95" t="s">
        <v>169</v>
      </c>
      <c r="C95" t="s">
        <v>517</v>
      </c>
      <c r="D95" t="s">
        <v>518</v>
      </c>
      <c r="E95">
        <v>27</v>
      </c>
      <c r="F95" s="70">
        <f>VLOOKUP(E95, sprintday!$A$6:$C$32, 2, FALSE)</f>
        <v>46146</v>
      </c>
      <c r="G95" s="70">
        <f>VLOOKUP(E95, sprintday!$A$6:$C$32, 3, FALSE)</f>
        <v>46157</v>
      </c>
      <c r="H95" s="87">
        <v>1</v>
      </c>
      <c r="I95" s="86" t="s">
        <v>327</v>
      </c>
      <c r="J95" s="86"/>
      <c r="K95" s="86"/>
    </row>
    <row r="96" spans="1:11">
      <c r="A96" t="s">
        <v>338</v>
      </c>
      <c r="B96" t="s">
        <v>169</v>
      </c>
      <c r="C96" t="s">
        <v>519</v>
      </c>
      <c r="D96" t="s">
        <v>520</v>
      </c>
      <c r="E96">
        <v>28</v>
      </c>
      <c r="F96" s="70">
        <f>VLOOKUP(E96, sprintday!$A$6:$C$32, 2, FALSE)</f>
        <v>46160</v>
      </c>
      <c r="G96" s="70">
        <f>VLOOKUP(E96, sprintday!$A$6:$C$32, 3, FALSE)</f>
        <v>46171</v>
      </c>
      <c r="H96" s="87">
        <v>1</v>
      </c>
      <c r="I96" s="86" t="s">
        <v>327</v>
      </c>
      <c r="J96" t="s">
        <v>521</v>
      </c>
      <c r="K96" t="s">
        <v>522</v>
      </c>
    </row>
    <row r="97" spans="1:11">
      <c r="A97" t="s">
        <v>338</v>
      </c>
      <c r="B97" t="s">
        <v>169</v>
      </c>
      <c r="C97" t="s">
        <v>523</v>
      </c>
      <c r="D97" t="s">
        <v>524</v>
      </c>
      <c r="E97">
        <v>27</v>
      </c>
      <c r="F97" s="70">
        <f>VLOOKUP(E97, sprintday!$A$6:$C$32, 2, FALSE)</f>
        <v>46146</v>
      </c>
      <c r="G97" s="70">
        <f>VLOOKUP(E97, sprintday!$A$6:$C$32, 3, FALSE)</f>
        <v>46157</v>
      </c>
      <c r="H97" s="87">
        <v>1</v>
      </c>
      <c r="I97" s="86" t="s">
        <v>327</v>
      </c>
    </row>
    <row r="98" spans="1:11">
      <c r="A98" t="s">
        <v>338</v>
      </c>
      <c r="B98" t="s">
        <v>169</v>
      </c>
      <c r="C98" t="s">
        <v>525</v>
      </c>
      <c r="D98" t="s">
        <v>526</v>
      </c>
      <c r="E98">
        <v>28</v>
      </c>
      <c r="F98" s="70">
        <f>VLOOKUP(E98, sprintday!$A$6:$C$32, 2, FALSE)</f>
        <v>46160</v>
      </c>
      <c r="G98" s="70">
        <f>VLOOKUP(E98, sprintday!$A$6:$C$32, 3, FALSE)</f>
        <v>46171</v>
      </c>
      <c r="H98" s="87">
        <v>1</v>
      </c>
      <c r="I98" s="86" t="s">
        <v>327</v>
      </c>
      <c r="J98" t="s">
        <v>521</v>
      </c>
      <c r="K98" t="s">
        <v>522</v>
      </c>
    </row>
    <row r="99" spans="1:11">
      <c r="A99" t="s">
        <v>338</v>
      </c>
      <c r="B99" t="s">
        <v>169</v>
      </c>
      <c r="C99" t="s">
        <v>527</v>
      </c>
      <c r="D99" t="s">
        <v>528</v>
      </c>
      <c r="E99">
        <v>28</v>
      </c>
      <c r="F99" s="70">
        <f>VLOOKUP(E99, sprintday!$A$6:$C$32, 2, FALSE)</f>
        <v>46160</v>
      </c>
      <c r="G99" s="70">
        <f>VLOOKUP(E99, sprintday!$A$6:$C$32, 3, FALSE)</f>
        <v>46171</v>
      </c>
      <c r="H99" s="87">
        <v>1</v>
      </c>
      <c r="I99" s="86" t="s">
        <v>327</v>
      </c>
    </row>
    <row r="100" spans="1:11">
      <c r="A100" t="s">
        <v>338</v>
      </c>
      <c r="B100" t="s">
        <v>169</v>
      </c>
      <c r="C100" t="s">
        <v>529</v>
      </c>
      <c r="D100" t="s">
        <v>530</v>
      </c>
      <c r="E100">
        <v>28</v>
      </c>
      <c r="F100" s="70">
        <f>VLOOKUP(E100, sprintday!$A$6:$C$32, 2, FALSE)</f>
        <v>46160</v>
      </c>
      <c r="G100" s="70">
        <f>VLOOKUP(E100, sprintday!$A$6:$C$32, 3, FALSE)</f>
        <v>46171</v>
      </c>
      <c r="H100" s="87">
        <v>1</v>
      </c>
      <c r="I100" s="86" t="s">
        <v>327</v>
      </c>
    </row>
    <row r="101" spans="1:11">
      <c r="A101" t="s">
        <v>338</v>
      </c>
      <c r="B101" t="s">
        <v>169</v>
      </c>
      <c r="C101" t="s">
        <v>531</v>
      </c>
      <c r="D101" t="s">
        <v>532</v>
      </c>
      <c r="E101">
        <v>28</v>
      </c>
      <c r="F101" s="70">
        <f>VLOOKUP(E101, sprintday!$A$6:$C$32, 2, FALSE)</f>
        <v>46160</v>
      </c>
      <c r="G101" s="70">
        <f>VLOOKUP(E101, sprintday!$A$6:$C$32, 3, FALSE)</f>
        <v>46171</v>
      </c>
      <c r="H101" s="87">
        <v>1</v>
      </c>
      <c r="I101" s="86" t="s">
        <v>327</v>
      </c>
    </row>
    <row r="102" spans="1:11">
      <c r="A102" t="s">
        <v>338</v>
      </c>
      <c r="B102" t="s">
        <v>169</v>
      </c>
      <c r="C102" t="s">
        <v>533</v>
      </c>
      <c r="D102" t="s">
        <v>534</v>
      </c>
      <c r="E102">
        <v>29</v>
      </c>
      <c r="F102" s="70">
        <f>VLOOKUP(E102, sprintday!$A$6:$C$32, 2, FALSE)</f>
        <v>46174</v>
      </c>
      <c r="G102" s="70">
        <f>VLOOKUP(E102, sprintday!$A$6:$C$32, 3, FALSE)</f>
        <v>46185</v>
      </c>
      <c r="H102" s="87">
        <v>1</v>
      </c>
      <c r="I102" s="86" t="s">
        <v>327</v>
      </c>
      <c r="J102" t="s">
        <v>521</v>
      </c>
      <c r="K102" t="s">
        <v>535</v>
      </c>
    </row>
    <row r="103" spans="1:11">
      <c r="A103" t="s">
        <v>338</v>
      </c>
      <c r="B103" t="s">
        <v>169</v>
      </c>
      <c r="C103" t="s">
        <v>536</v>
      </c>
      <c r="D103" s="149" t="s">
        <v>537</v>
      </c>
      <c r="E103">
        <v>28</v>
      </c>
      <c r="F103" s="70">
        <f>VLOOKUP(E103, sprintday!$A$6:$C$32, 2, FALSE)</f>
        <v>46160</v>
      </c>
      <c r="G103" s="70">
        <f>VLOOKUP(E103, sprintday!$A$6:$C$32, 3, FALSE)</f>
        <v>46171</v>
      </c>
      <c r="H103" s="87">
        <v>1</v>
      </c>
      <c r="I103" s="86"/>
      <c r="J103" t="s">
        <v>538</v>
      </c>
      <c r="K103" t="s">
        <v>539</v>
      </c>
    </row>
    <row r="104" spans="1:11">
      <c r="A104" t="s">
        <v>338</v>
      </c>
      <c r="B104" t="s">
        <v>169</v>
      </c>
      <c r="C104" t="s">
        <v>540</v>
      </c>
      <c r="D104" s="149" t="s">
        <v>541</v>
      </c>
      <c r="E104">
        <v>28</v>
      </c>
      <c r="F104" s="70">
        <f>VLOOKUP(E104, sprintday!$A$6:$C$32, 2, FALSE)</f>
        <v>46160</v>
      </c>
      <c r="G104" s="70">
        <f>VLOOKUP(E104, sprintday!$A$6:$C$32, 3, FALSE)</f>
        <v>46171</v>
      </c>
      <c r="H104" s="87">
        <v>1</v>
      </c>
      <c r="I104" s="86"/>
      <c r="J104" t="s">
        <v>538</v>
      </c>
      <c r="K104" t="s">
        <v>539</v>
      </c>
    </row>
    <row r="105" spans="1:11">
      <c r="A105" t="s">
        <v>338</v>
      </c>
      <c r="B105" t="s">
        <v>169</v>
      </c>
      <c r="C105" t="s">
        <v>542</v>
      </c>
      <c r="D105" t="s">
        <v>543</v>
      </c>
      <c r="E105">
        <v>28</v>
      </c>
      <c r="F105" s="70">
        <f>VLOOKUP(E105, sprintday!$A$6:$C$32, 2, FALSE)</f>
        <v>46160</v>
      </c>
      <c r="G105" s="70">
        <f>VLOOKUP(E105, sprintday!$A$6:$C$32, 3, FALSE)</f>
        <v>46171</v>
      </c>
      <c r="H105" s="87">
        <v>1</v>
      </c>
      <c r="I105" s="86" t="s">
        <v>327</v>
      </c>
    </row>
    <row r="106" spans="1:11">
      <c r="A106" t="s">
        <v>338</v>
      </c>
      <c r="B106" t="s">
        <v>169</v>
      </c>
      <c r="C106" t="s">
        <v>544</v>
      </c>
      <c r="D106" t="s">
        <v>545</v>
      </c>
      <c r="E106">
        <v>28</v>
      </c>
      <c r="F106" s="70">
        <f>VLOOKUP(E106, sprintday!$A$6:$C$32, 2, FALSE)</f>
        <v>46160</v>
      </c>
      <c r="G106" s="70">
        <f>VLOOKUP(E106, sprintday!$A$6:$C$32, 3, FALSE)</f>
        <v>46171</v>
      </c>
      <c r="H106" s="87">
        <v>1</v>
      </c>
      <c r="I106" s="86" t="s">
        <v>327</v>
      </c>
    </row>
    <row r="107" spans="1:11" s="150" customFormat="1">
      <c r="A107" s="150" t="s">
        <v>338</v>
      </c>
      <c r="B107" s="150" t="s">
        <v>169</v>
      </c>
      <c r="D107" s="150" t="s">
        <v>546</v>
      </c>
      <c r="E107" s="150">
        <v>28</v>
      </c>
      <c r="F107" s="152">
        <f>VLOOKUP(E107, sprintday!$A$6:$C$32, 2, FALSE)</f>
        <v>46160</v>
      </c>
      <c r="G107" s="152">
        <f>VLOOKUP(E107, sprintday!$A$6:$C$32, 3, FALSE)</f>
        <v>46171</v>
      </c>
      <c r="H107" s="153">
        <v>1</v>
      </c>
      <c r="I107" s="154" t="s">
        <v>327</v>
      </c>
      <c r="J107" s="150" t="s">
        <v>547</v>
      </c>
      <c r="K107" s="150" t="s">
        <v>548</v>
      </c>
    </row>
    <row r="108" spans="1:11">
      <c r="A108" t="s">
        <v>323</v>
      </c>
      <c r="B108" t="s">
        <v>349</v>
      </c>
      <c r="C108" t="s">
        <v>549</v>
      </c>
      <c r="D108" t="s">
        <v>550</v>
      </c>
      <c r="E108">
        <v>29</v>
      </c>
      <c r="F108" s="70">
        <f>VLOOKUP(E108, sprintday!$A$6:$C$32, 2, FALSE)</f>
        <v>46174</v>
      </c>
      <c r="G108" s="70">
        <f>VLOOKUP(E108, sprintday!$A$6:$C$32, 3, FALSE)</f>
        <v>46185</v>
      </c>
      <c r="H108" s="87">
        <v>1</v>
      </c>
      <c r="I108" s="86" t="s">
        <v>327</v>
      </c>
    </row>
    <row r="109" spans="1:11">
      <c r="A109" t="s">
        <v>338</v>
      </c>
      <c r="B109" t="s">
        <v>169</v>
      </c>
      <c r="C109" t="s">
        <v>551</v>
      </c>
      <c r="D109" t="s">
        <v>552</v>
      </c>
      <c r="E109">
        <v>29</v>
      </c>
      <c r="F109" s="70">
        <f>VLOOKUP(E109, sprintday!$A$6:$C$32, 2, FALSE)</f>
        <v>46174</v>
      </c>
      <c r="G109" s="70">
        <f>VLOOKUP(E109, sprintday!$A$6:$C$32, 3, FALSE)</f>
        <v>46185</v>
      </c>
      <c r="H109" s="87">
        <v>1</v>
      </c>
      <c r="I109" s="86" t="s">
        <v>327</v>
      </c>
      <c r="J109" t="s">
        <v>521</v>
      </c>
      <c r="K109" t="s">
        <v>535</v>
      </c>
    </row>
    <row r="110" spans="1:11">
      <c r="A110" t="s">
        <v>338</v>
      </c>
      <c r="B110" t="s">
        <v>169</v>
      </c>
      <c r="C110" t="s">
        <v>553</v>
      </c>
      <c r="D110" t="s">
        <v>554</v>
      </c>
      <c r="E110">
        <v>29</v>
      </c>
      <c r="F110" s="70">
        <f>VLOOKUP(E110, sprintday!$A$6:$C$32, 2, FALSE)</f>
        <v>46174</v>
      </c>
      <c r="G110" s="70">
        <f>VLOOKUP(E110, sprintday!$A$6:$C$32, 3, FALSE)</f>
        <v>46185</v>
      </c>
      <c r="H110" s="87">
        <v>1</v>
      </c>
      <c r="I110" s="86" t="s">
        <v>327</v>
      </c>
      <c r="J110" s="86"/>
      <c r="K110" s="86"/>
    </row>
    <row r="111" spans="1:11">
      <c r="A111" t="s">
        <v>338</v>
      </c>
      <c r="B111" t="s">
        <v>169</v>
      </c>
      <c r="C111" t="s">
        <v>555</v>
      </c>
      <c r="D111" t="s">
        <v>556</v>
      </c>
      <c r="E111">
        <v>29</v>
      </c>
      <c r="F111" s="70">
        <f>VLOOKUP(E111, sprintday!$A$6:$C$32, 2, FALSE)</f>
        <v>46174</v>
      </c>
      <c r="G111" s="70">
        <f>VLOOKUP(E111, sprintday!$A$6:$C$32, 3, FALSE)</f>
        <v>46185</v>
      </c>
      <c r="H111" s="87">
        <v>1</v>
      </c>
      <c r="I111" s="86" t="s">
        <v>327</v>
      </c>
      <c r="J111" s="86"/>
      <c r="K111" s="86"/>
    </row>
    <row r="112" spans="1:11">
      <c r="A112" t="s">
        <v>338</v>
      </c>
      <c r="B112" t="s">
        <v>169</v>
      </c>
      <c r="C112" t="s">
        <v>557</v>
      </c>
      <c r="D112" t="s">
        <v>558</v>
      </c>
      <c r="E112">
        <v>29</v>
      </c>
      <c r="F112" s="70">
        <f>VLOOKUP(E112, sprintday!$A$6:$C$32, 2, FALSE)</f>
        <v>46174</v>
      </c>
      <c r="G112" s="70">
        <f>VLOOKUP(E112, sprintday!$A$6:$C$32, 3, FALSE)</f>
        <v>46185</v>
      </c>
      <c r="H112" s="87">
        <v>1</v>
      </c>
      <c r="I112" s="86" t="s">
        <v>327</v>
      </c>
      <c r="J112" s="86"/>
      <c r="K112" s="86"/>
    </row>
    <row r="113" spans="1:11">
      <c r="A113" t="s">
        <v>338</v>
      </c>
      <c r="B113" t="s">
        <v>169</v>
      </c>
      <c r="C113" t="s">
        <v>555</v>
      </c>
      <c r="D113" t="s">
        <v>559</v>
      </c>
      <c r="E113">
        <v>29</v>
      </c>
      <c r="F113" s="70">
        <f>VLOOKUP(E113, sprintday!$A$6:$C$32, 2, FALSE)</f>
        <v>46174</v>
      </c>
      <c r="G113" s="70">
        <f>VLOOKUP(E113, sprintday!$A$6:$C$32, 3, FALSE)</f>
        <v>46185</v>
      </c>
      <c r="H113" s="87">
        <v>1</v>
      </c>
      <c r="I113" s="86" t="s">
        <v>327</v>
      </c>
      <c r="J113" s="194" t="s">
        <v>560</v>
      </c>
      <c r="K113" s="194" t="s">
        <v>561</v>
      </c>
    </row>
    <row r="114" spans="1:11">
      <c r="A114" t="s">
        <v>338</v>
      </c>
      <c r="B114" t="s">
        <v>169</v>
      </c>
      <c r="C114" t="s">
        <v>562</v>
      </c>
      <c r="D114" t="s">
        <v>563</v>
      </c>
      <c r="E114">
        <v>29</v>
      </c>
      <c r="F114" s="70">
        <f>VLOOKUP(E114, sprintday!$A$6:$C$32, 2, FALSE)</f>
        <v>46174</v>
      </c>
      <c r="G114" s="70">
        <f>VLOOKUP(E114, sprintday!$A$6:$C$32, 3, FALSE)</f>
        <v>46185</v>
      </c>
      <c r="H114" s="87">
        <v>1</v>
      </c>
      <c r="I114" s="86" t="s">
        <v>327</v>
      </c>
      <c r="J114" s="194"/>
      <c r="K114" s="194"/>
    </row>
    <row r="115" spans="1:11">
      <c r="A115" t="s">
        <v>338</v>
      </c>
      <c r="B115" t="s">
        <v>169</v>
      </c>
      <c r="C115" t="s">
        <v>564</v>
      </c>
      <c r="D115" t="s">
        <v>565</v>
      </c>
      <c r="E115">
        <v>30</v>
      </c>
      <c r="F115" s="70">
        <f>VLOOKUP(E115, sprintday!$A$6:$C$32, 2, FALSE)</f>
        <v>46188</v>
      </c>
      <c r="G115" s="70">
        <f>VLOOKUP(E115, sprintday!$A$6:$C$32, 3, FALSE)</f>
        <v>46199</v>
      </c>
      <c r="H115" s="87">
        <v>1</v>
      </c>
      <c r="I115" s="86" t="s">
        <v>327</v>
      </c>
      <c r="J115" s="194" t="s">
        <v>560</v>
      </c>
      <c r="K115" s="194" t="s">
        <v>566</v>
      </c>
    </row>
    <row r="116" spans="1:11">
      <c r="A116" t="s">
        <v>338</v>
      </c>
      <c r="B116" t="s">
        <v>169</v>
      </c>
      <c r="C116" t="s">
        <v>567</v>
      </c>
      <c r="D116" t="s">
        <v>568</v>
      </c>
      <c r="E116">
        <v>30</v>
      </c>
      <c r="F116" s="70">
        <f>VLOOKUP(E116, sprintday!$A$6:$C$32, 2, FALSE)</f>
        <v>46188</v>
      </c>
      <c r="G116" s="70">
        <f>VLOOKUP(E116, sprintday!$A$6:$C$32, 3, FALSE)</f>
        <v>46199</v>
      </c>
      <c r="H116" s="87">
        <v>1</v>
      </c>
      <c r="I116" s="86" t="s">
        <v>327</v>
      </c>
      <c r="J116" s="73" t="s">
        <v>560</v>
      </c>
      <c r="K116" s="194" t="s">
        <v>569</v>
      </c>
    </row>
    <row r="117" spans="1:11">
      <c r="A117" t="s">
        <v>338</v>
      </c>
      <c r="B117" t="s">
        <v>169</v>
      </c>
      <c r="C117" t="s">
        <v>570</v>
      </c>
      <c r="D117" t="s">
        <v>571</v>
      </c>
      <c r="E117">
        <v>30</v>
      </c>
      <c r="F117" s="70">
        <f>VLOOKUP(E117, sprintday!$A$6:$C$32, 2, FALSE)</f>
        <v>46188</v>
      </c>
      <c r="G117" s="70">
        <f>VLOOKUP(E117, sprintday!$A$6:$C$32, 3, FALSE)</f>
        <v>46199</v>
      </c>
      <c r="H117" s="87">
        <v>1</v>
      </c>
      <c r="I117" s="86" t="s">
        <v>327</v>
      </c>
      <c r="J117" s="194"/>
      <c r="K117" s="194"/>
    </row>
    <row r="118" spans="1:11">
      <c r="A118" t="s">
        <v>338</v>
      </c>
      <c r="B118" t="s">
        <v>169</v>
      </c>
      <c r="C118" t="s">
        <v>572</v>
      </c>
      <c r="D118" t="s">
        <v>573</v>
      </c>
      <c r="E118">
        <v>30</v>
      </c>
      <c r="F118" s="70">
        <f>VLOOKUP(E118, sprintday!$A$6:$C$32, 2, FALSE)</f>
        <v>46188</v>
      </c>
      <c r="G118" s="70">
        <f>VLOOKUP(E118, sprintday!$A$6:$C$32, 3, FALSE)</f>
        <v>46199</v>
      </c>
      <c r="H118" s="87">
        <v>1</v>
      </c>
      <c r="I118" s="86" t="s">
        <v>327</v>
      </c>
      <c r="J118" t="s">
        <v>521</v>
      </c>
      <c r="K118" t="s">
        <v>574</v>
      </c>
    </row>
    <row r="119" spans="1:11">
      <c r="A119" t="s">
        <v>338</v>
      </c>
      <c r="C119" s="189" t="s">
        <v>575</v>
      </c>
      <c r="D119" s="190" t="s">
        <v>576</v>
      </c>
      <c r="E119">
        <v>30</v>
      </c>
      <c r="F119" s="70">
        <f>VLOOKUP(E119, sprintday!$A$6:$C$32, 2, FALSE)</f>
        <v>46188</v>
      </c>
      <c r="G119" s="70">
        <f>VLOOKUP(E119, sprintday!$A$6:$C$32, 3, FALSE)</f>
        <v>46199</v>
      </c>
      <c r="H119" s="87">
        <v>1</v>
      </c>
      <c r="I119" s="193"/>
      <c r="J119" t="s">
        <v>538</v>
      </c>
      <c r="K119" t="s">
        <v>577</v>
      </c>
    </row>
    <row r="120" spans="1:11">
      <c r="A120" t="s">
        <v>338</v>
      </c>
      <c r="C120" s="189" t="s">
        <v>578</v>
      </c>
      <c r="D120" s="190" t="s">
        <v>579</v>
      </c>
      <c r="E120">
        <v>30</v>
      </c>
      <c r="F120" s="70">
        <f>VLOOKUP(E120, sprintday!$A$6:$C$32, 2, FALSE)</f>
        <v>46188</v>
      </c>
      <c r="G120" s="70">
        <f>VLOOKUP(E120, sprintday!$A$6:$C$32, 3, FALSE)</f>
        <v>46199</v>
      </c>
      <c r="H120" s="87">
        <v>1</v>
      </c>
      <c r="I120" s="193"/>
      <c r="J120" t="s">
        <v>538</v>
      </c>
      <c r="K120" t="s">
        <v>577</v>
      </c>
    </row>
    <row r="121" spans="1:11">
      <c r="A121" t="s">
        <v>338</v>
      </c>
      <c r="C121" s="189" t="s">
        <v>580</v>
      </c>
      <c r="D121" s="190" t="s">
        <v>581</v>
      </c>
      <c r="E121">
        <v>30</v>
      </c>
      <c r="F121" s="70">
        <f>VLOOKUP(E121, sprintday!$A$6:$C$32, 2, FALSE)</f>
        <v>46188</v>
      </c>
      <c r="G121" s="70">
        <f>VLOOKUP(E121, sprintday!$A$6:$C$32, 3, FALSE)</f>
        <v>46199</v>
      </c>
      <c r="H121" s="87">
        <v>1</v>
      </c>
      <c r="I121" s="193"/>
      <c r="J121" t="s">
        <v>538</v>
      </c>
      <c r="K121" t="s">
        <v>577</v>
      </c>
    </row>
    <row r="122" spans="1:11">
      <c r="A122" t="s">
        <v>338</v>
      </c>
      <c r="C122" s="191" t="s">
        <v>582</v>
      </c>
      <c r="D122" s="192" t="s">
        <v>583</v>
      </c>
      <c r="E122">
        <v>30</v>
      </c>
      <c r="F122" s="70">
        <f>VLOOKUP(E122, sprintday!$A$6:$C$32, 2, FALSE)</f>
        <v>46188</v>
      </c>
      <c r="G122" s="70">
        <f>VLOOKUP(E122, sprintday!$A$6:$C$32, 3, FALSE)</f>
        <v>46199</v>
      </c>
      <c r="H122" s="87">
        <v>1</v>
      </c>
      <c r="I122" s="193"/>
      <c r="J122" t="s">
        <v>538</v>
      </c>
      <c r="K122" t="s">
        <v>577</v>
      </c>
    </row>
    <row r="123" spans="1:11">
      <c r="A123" t="s">
        <v>338</v>
      </c>
      <c r="C123" s="191" t="s">
        <v>584</v>
      </c>
      <c r="D123" s="192" t="s">
        <v>585</v>
      </c>
      <c r="E123">
        <v>30</v>
      </c>
      <c r="F123" s="70">
        <f>VLOOKUP(E123, sprintday!$A$6:$C$32, 2, FALSE)</f>
        <v>46188</v>
      </c>
      <c r="G123" s="70">
        <f>VLOOKUP(E123, sprintday!$A$6:$C$32, 3, FALSE)</f>
        <v>46199</v>
      </c>
      <c r="H123" s="87">
        <v>1</v>
      </c>
      <c r="I123" s="193"/>
      <c r="J123" t="s">
        <v>538</v>
      </c>
      <c r="K123" t="s">
        <v>577</v>
      </c>
    </row>
    <row r="124" spans="1:11">
      <c r="A124" t="s">
        <v>338</v>
      </c>
      <c r="C124" s="191" t="s">
        <v>586</v>
      </c>
      <c r="D124" s="192" t="s">
        <v>587</v>
      </c>
      <c r="E124">
        <v>30</v>
      </c>
      <c r="F124" s="70">
        <f>VLOOKUP(E124, sprintday!$A$6:$C$32, 2, FALSE)</f>
        <v>46188</v>
      </c>
      <c r="G124" s="70">
        <f>VLOOKUP(E124, sprintday!$A$6:$C$32, 3, FALSE)</f>
        <v>46199</v>
      </c>
      <c r="H124" s="87">
        <v>1</v>
      </c>
      <c r="I124" s="193"/>
      <c r="J124" t="s">
        <v>538</v>
      </c>
      <c r="K124" t="s">
        <v>577</v>
      </c>
    </row>
    <row r="125" spans="1:11">
      <c r="A125" t="s">
        <v>338</v>
      </c>
      <c r="C125" s="191" t="s">
        <v>588</v>
      </c>
      <c r="D125" s="192" t="s">
        <v>589</v>
      </c>
      <c r="E125">
        <v>30</v>
      </c>
      <c r="F125" s="70">
        <f>VLOOKUP(E125, sprintday!$A$6:$C$32, 2, FALSE)</f>
        <v>46188</v>
      </c>
      <c r="G125" s="70">
        <f>VLOOKUP(E125, sprintday!$A$6:$C$32, 3, FALSE)</f>
        <v>46199</v>
      </c>
      <c r="H125" s="87">
        <v>1</v>
      </c>
      <c r="I125" s="193"/>
      <c r="J125" t="s">
        <v>538</v>
      </c>
      <c r="K125" t="s">
        <v>577</v>
      </c>
    </row>
    <row r="126" spans="1:11">
      <c r="A126" t="s">
        <v>338</v>
      </c>
      <c r="B126" t="s">
        <v>169</v>
      </c>
      <c r="C126" t="s">
        <v>590</v>
      </c>
      <c r="D126" t="s">
        <v>591</v>
      </c>
      <c r="E126">
        <v>31</v>
      </c>
      <c r="F126" s="70">
        <f>VLOOKUP(E126, sprintday!$A$6:$C$32, 2, FALSE)</f>
        <v>46202</v>
      </c>
      <c r="G126" s="70">
        <f>VLOOKUP(E126, sprintday!$A$6:$C$32, 3, FALSE)</f>
        <v>46213</v>
      </c>
      <c r="H126" s="87">
        <v>1</v>
      </c>
      <c r="I126" s="86" t="s">
        <v>327</v>
      </c>
      <c r="J126" s="194" t="s">
        <v>521</v>
      </c>
      <c r="K126" s="194" t="s">
        <v>592</v>
      </c>
    </row>
    <row r="127" spans="1:11">
      <c r="A127" t="s">
        <v>338</v>
      </c>
      <c r="B127" t="s">
        <v>374</v>
      </c>
      <c r="C127" t="s">
        <v>593</v>
      </c>
      <c r="D127" t="s">
        <v>594</v>
      </c>
      <c r="E127">
        <v>31</v>
      </c>
      <c r="F127" s="70">
        <f>VLOOKUP(E127, sprintday!$A$6:$C$32, 2, FALSE)</f>
        <v>46202</v>
      </c>
      <c r="G127" s="70">
        <f>VLOOKUP(E127, sprintday!$A$6:$C$32, 3, FALSE)</f>
        <v>46213</v>
      </c>
      <c r="H127" s="87">
        <v>1</v>
      </c>
      <c r="I127" s="86" t="s">
        <v>327</v>
      </c>
      <c r="J127" s="194" t="s">
        <v>521</v>
      </c>
      <c r="K127" s="194" t="s">
        <v>595</v>
      </c>
    </row>
    <row r="128" spans="1:11">
      <c r="A128" t="s">
        <v>338</v>
      </c>
      <c r="B128" t="s">
        <v>374</v>
      </c>
      <c r="C128" t="s">
        <v>596</v>
      </c>
      <c r="D128" t="s">
        <v>597</v>
      </c>
      <c r="E128">
        <v>31</v>
      </c>
      <c r="F128" s="70">
        <f>VLOOKUP(E128, sprintday!$A$6:$C$32, 2, FALSE)</f>
        <v>46202</v>
      </c>
      <c r="G128" s="70">
        <f>VLOOKUP(E128, sprintday!$A$6:$C$32, 3, FALSE)</f>
        <v>46213</v>
      </c>
      <c r="H128" s="87">
        <v>1</v>
      </c>
      <c r="I128" s="86" t="s">
        <v>327</v>
      </c>
      <c r="J128" s="194" t="s">
        <v>521</v>
      </c>
      <c r="K128" s="194" t="s">
        <v>595</v>
      </c>
    </row>
    <row r="129" spans="1:11">
      <c r="A129" t="s">
        <v>338</v>
      </c>
      <c r="B129" t="s">
        <v>169</v>
      </c>
      <c r="C129" t="s">
        <v>598</v>
      </c>
      <c r="D129" t="s">
        <v>599</v>
      </c>
      <c r="E129">
        <v>31</v>
      </c>
      <c r="F129" s="70">
        <f>VLOOKUP(E129, sprintday!$A$6:$C$32, 2, FALSE)</f>
        <v>46202</v>
      </c>
      <c r="G129" s="70">
        <f>VLOOKUP(E129, sprintday!$A$6:$C$32, 3, FALSE)</f>
        <v>46213</v>
      </c>
      <c r="H129" s="87">
        <v>1</v>
      </c>
      <c r="I129" s="86"/>
      <c r="J129" s="194" t="s">
        <v>538</v>
      </c>
      <c r="K129" s="194" t="s">
        <v>539</v>
      </c>
    </row>
    <row r="130" spans="1:11">
      <c r="A130" t="s">
        <v>338</v>
      </c>
      <c r="B130" t="s">
        <v>169</v>
      </c>
      <c r="C130" t="s">
        <v>600</v>
      </c>
      <c r="D130" t="s">
        <v>601</v>
      </c>
      <c r="E130">
        <v>31</v>
      </c>
      <c r="F130" s="70">
        <f>VLOOKUP(E130, sprintday!$A$6:$C$32, 2, FALSE)</f>
        <v>46202</v>
      </c>
      <c r="G130" s="70">
        <f>VLOOKUP(E130, sprintday!$A$6:$C$32, 3, FALSE)</f>
        <v>46213</v>
      </c>
      <c r="H130" s="87">
        <v>1</v>
      </c>
      <c r="I130" s="86"/>
      <c r="J130" s="194" t="s">
        <v>538</v>
      </c>
      <c r="K130" s="194" t="s">
        <v>539</v>
      </c>
    </row>
    <row r="131" spans="1:11">
      <c r="A131" t="s">
        <v>338</v>
      </c>
      <c r="B131" t="s">
        <v>374</v>
      </c>
      <c r="C131" t="s">
        <v>602</v>
      </c>
      <c r="D131" t="s">
        <v>603</v>
      </c>
      <c r="E131">
        <v>32</v>
      </c>
      <c r="F131" s="70">
        <f>VLOOKUP(E131, sprintday!$A$6:$C$32, 2, FALSE)</f>
        <v>46216</v>
      </c>
      <c r="G131" s="70">
        <f>VLOOKUP(E131, sprintday!$A$6:$C$32, 3, FALSE)</f>
        <v>46227</v>
      </c>
      <c r="H131" s="87">
        <v>1</v>
      </c>
      <c r="I131" s="86" t="s">
        <v>327</v>
      </c>
      <c r="J131" s="194"/>
      <c r="K131" s="194"/>
    </row>
    <row r="132" spans="1:11">
      <c r="A132" t="s">
        <v>338</v>
      </c>
      <c r="B132" t="s">
        <v>374</v>
      </c>
      <c r="C132" t="s">
        <v>604</v>
      </c>
      <c r="D132" t="s">
        <v>605</v>
      </c>
      <c r="E132">
        <v>32</v>
      </c>
      <c r="F132" s="70">
        <f>VLOOKUP(E132, sprintday!$A$6:$C$32, 2, FALSE)</f>
        <v>46216</v>
      </c>
      <c r="G132" s="70">
        <f>VLOOKUP(E132, sprintday!$A$6:$C$32, 3, FALSE)</f>
        <v>46227</v>
      </c>
      <c r="H132" s="87">
        <v>1</v>
      </c>
      <c r="I132" s="86" t="s">
        <v>327</v>
      </c>
      <c r="J132" s="194"/>
      <c r="K132" s="194"/>
    </row>
    <row r="133" spans="1:11">
      <c r="A133" t="s">
        <v>338</v>
      </c>
      <c r="B133" t="s">
        <v>374</v>
      </c>
      <c r="C133" t="s">
        <v>606</v>
      </c>
      <c r="D133" t="s">
        <v>607</v>
      </c>
      <c r="E133">
        <v>32</v>
      </c>
      <c r="F133" s="70">
        <f>VLOOKUP(E133, sprintday!$A$6:$C$32, 2, FALSE)</f>
        <v>46216</v>
      </c>
      <c r="G133" s="70">
        <f>VLOOKUP(E133, sprintday!$A$6:$C$32, 3, FALSE)</f>
        <v>46227</v>
      </c>
      <c r="H133" s="87">
        <v>1</v>
      </c>
      <c r="I133" s="86" t="s">
        <v>327</v>
      </c>
      <c r="J133" s="194"/>
      <c r="K133" s="194"/>
    </row>
    <row r="134" spans="1:11">
      <c r="A134" t="s">
        <v>338</v>
      </c>
      <c r="B134" t="s">
        <v>374</v>
      </c>
      <c r="C134" t="s">
        <v>608</v>
      </c>
      <c r="D134" t="s">
        <v>609</v>
      </c>
      <c r="E134">
        <v>32</v>
      </c>
      <c r="F134" s="70">
        <f>VLOOKUP(E134, sprintday!$A$6:$C$32, 2, FALSE)</f>
        <v>46216</v>
      </c>
      <c r="G134" s="70">
        <f>VLOOKUP(E134, sprintday!$A$6:$C$32, 3, FALSE)</f>
        <v>46227</v>
      </c>
      <c r="H134" s="87">
        <v>1</v>
      </c>
      <c r="I134" s="86"/>
      <c r="J134" s="73" t="s">
        <v>610</v>
      </c>
      <c r="K134" s="194" t="s">
        <v>611</v>
      </c>
    </row>
    <row r="135" spans="1:11">
      <c r="A135" t="s">
        <v>338</v>
      </c>
      <c r="B135" t="s">
        <v>294</v>
      </c>
      <c r="C135" t="s">
        <v>612</v>
      </c>
      <c r="D135" t="s">
        <v>613</v>
      </c>
      <c r="E135">
        <v>32</v>
      </c>
      <c r="F135" s="70">
        <f>VLOOKUP(E135, sprintday!$A$6:$C$32, 2, FALSE)</f>
        <v>46216</v>
      </c>
      <c r="G135" s="70">
        <f>VLOOKUP(E135, sprintday!$A$6:$C$32, 3, FALSE)</f>
        <v>46227</v>
      </c>
      <c r="H135" s="87">
        <v>1</v>
      </c>
      <c r="I135" s="86"/>
      <c r="J135" s="73" t="s">
        <v>521</v>
      </c>
      <c r="K135" s="194" t="s">
        <v>611</v>
      </c>
    </row>
    <row r="136" spans="1:11">
      <c r="A136" t="s">
        <v>338</v>
      </c>
      <c r="B136" t="s">
        <v>374</v>
      </c>
      <c r="C136" t="s">
        <v>614</v>
      </c>
      <c r="D136" t="s">
        <v>615</v>
      </c>
      <c r="E136">
        <v>32</v>
      </c>
      <c r="F136" s="70">
        <f>VLOOKUP(E136, sprintday!$A$6:$C$32, 2, FALSE)</f>
        <v>46216</v>
      </c>
      <c r="G136" s="70">
        <f>VLOOKUP(E136, sprintday!$A$6:$C$32, 3, FALSE)</f>
        <v>46227</v>
      </c>
      <c r="H136" s="87">
        <v>1</v>
      </c>
      <c r="I136" s="86"/>
      <c r="J136" s="194" t="s">
        <v>4</v>
      </c>
      <c r="K136" s="194" t="s">
        <v>616</v>
      </c>
    </row>
    <row r="137" spans="1:11">
      <c r="A137" t="s">
        <v>338</v>
      </c>
      <c r="B137" t="s">
        <v>374</v>
      </c>
      <c r="C137" t="s">
        <v>617</v>
      </c>
      <c r="D137" t="s">
        <v>618</v>
      </c>
      <c r="E137">
        <v>32</v>
      </c>
      <c r="F137" s="70">
        <f>VLOOKUP(E137, sprintday!$A$6:$C$32, 2, FALSE)</f>
        <v>46216</v>
      </c>
      <c r="G137" s="70">
        <f>VLOOKUP(E137, sprintday!$A$6:$C$32, 3, FALSE)</f>
        <v>46227</v>
      </c>
      <c r="H137" s="87">
        <v>1</v>
      </c>
      <c r="I137" s="86"/>
      <c r="J137" s="194" t="s">
        <v>4</v>
      </c>
      <c r="K137" s="194" t="s">
        <v>616</v>
      </c>
    </row>
    <row r="138" spans="1:11">
      <c r="A138" t="s">
        <v>338</v>
      </c>
      <c r="B138" t="s">
        <v>374</v>
      </c>
      <c r="C138" t="s">
        <v>619</v>
      </c>
      <c r="D138" t="s">
        <v>620</v>
      </c>
      <c r="E138">
        <v>32</v>
      </c>
      <c r="F138" s="70">
        <f>VLOOKUP(E138, sprintday!$A$6:$C$32, 2, FALSE)</f>
        <v>46216</v>
      </c>
      <c r="G138" s="70">
        <f>VLOOKUP(E138, sprintday!$A$6:$C$32, 3, FALSE)</f>
        <v>46227</v>
      </c>
      <c r="H138" s="87">
        <v>1</v>
      </c>
      <c r="I138" s="86"/>
      <c r="J138" s="194" t="s">
        <v>4</v>
      </c>
      <c r="K138" s="194" t="s">
        <v>616</v>
      </c>
    </row>
    <row r="139" spans="1:11">
      <c r="A139" t="s">
        <v>338</v>
      </c>
      <c r="B139" t="s">
        <v>374</v>
      </c>
      <c r="C139" t="s">
        <v>621</v>
      </c>
      <c r="D139" t="s">
        <v>622</v>
      </c>
      <c r="E139">
        <v>32</v>
      </c>
      <c r="F139" s="70">
        <f>VLOOKUP(E139, sprintday!$A$6:$C$32, 2, FALSE)</f>
        <v>46216</v>
      </c>
      <c r="G139" s="70">
        <f>VLOOKUP(E139, sprintday!$A$6:$C$32, 3, FALSE)</f>
        <v>46227</v>
      </c>
      <c r="H139" s="87">
        <v>1</v>
      </c>
      <c r="I139" s="86"/>
      <c r="J139" s="194" t="s">
        <v>4</v>
      </c>
      <c r="K139" s="194" t="s">
        <v>616</v>
      </c>
    </row>
    <row r="140" spans="1:11">
      <c r="A140" t="s">
        <v>338</v>
      </c>
      <c r="B140" t="s">
        <v>374</v>
      </c>
      <c r="C140" t="s">
        <v>623</v>
      </c>
      <c r="D140" t="s">
        <v>624</v>
      </c>
      <c r="E140">
        <v>32</v>
      </c>
      <c r="F140" s="70">
        <f>VLOOKUP(E140, sprintday!$A$6:$C$32, 2, FALSE)</f>
        <v>46216</v>
      </c>
      <c r="G140" s="70">
        <f>VLOOKUP(E140, sprintday!$A$6:$C$32, 3, FALSE)</f>
        <v>46227</v>
      </c>
      <c r="H140" s="87">
        <v>1</v>
      </c>
      <c r="I140" s="86"/>
      <c r="J140" s="194" t="s">
        <v>4</v>
      </c>
      <c r="K140" s="194" t="s">
        <v>616</v>
      </c>
    </row>
    <row r="141" spans="1:11">
      <c r="A141" t="s">
        <v>338</v>
      </c>
      <c r="B141" t="s">
        <v>374</v>
      </c>
      <c r="C141" t="s">
        <v>625</v>
      </c>
      <c r="D141" t="s">
        <v>626</v>
      </c>
      <c r="E141">
        <v>32</v>
      </c>
      <c r="F141" s="70">
        <f>VLOOKUP(E141, sprintday!$A$6:$C$32, 2, FALSE)</f>
        <v>46216</v>
      </c>
      <c r="G141" s="70">
        <f>VLOOKUP(E141, sprintday!$A$6:$C$32, 3, FALSE)</f>
        <v>46227</v>
      </c>
      <c r="H141" s="87">
        <v>1</v>
      </c>
      <c r="I141" s="86"/>
      <c r="J141" s="194" t="s">
        <v>4</v>
      </c>
      <c r="K141" s="194" t="s">
        <v>616</v>
      </c>
    </row>
    <row r="142" spans="1:11">
      <c r="A142" t="s">
        <v>338</v>
      </c>
      <c r="B142" t="s">
        <v>374</v>
      </c>
      <c r="C142" t="s">
        <v>627</v>
      </c>
      <c r="D142" t="s">
        <v>628</v>
      </c>
      <c r="E142">
        <v>32</v>
      </c>
      <c r="F142" s="70">
        <f>VLOOKUP(E142, sprintday!$A$6:$C$32, 2, FALSE)</f>
        <v>46216</v>
      </c>
      <c r="G142" s="70">
        <f>VLOOKUP(E142, sprintday!$A$6:$C$32, 3, FALSE)</f>
        <v>46227</v>
      </c>
      <c r="H142" s="87">
        <v>1</v>
      </c>
      <c r="I142" s="86"/>
      <c r="J142" s="194" t="s">
        <v>4</v>
      </c>
      <c r="K142" s="194" t="s">
        <v>616</v>
      </c>
    </row>
    <row r="143" spans="1:11">
      <c r="A143" t="s">
        <v>338</v>
      </c>
      <c r="B143" t="s">
        <v>374</v>
      </c>
      <c r="C143" t="s">
        <v>629</v>
      </c>
      <c r="D143" t="s">
        <v>630</v>
      </c>
      <c r="E143">
        <v>32</v>
      </c>
      <c r="F143" s="70">
        <f>VLOOKUP(E143, sprintday!$A$6:$C$32, 2, FALSE)</f>
        <v>46216</v>
      </c>
      <c r="G143" s="70">
        <f>VLOOKUP(E143, sprintday!$A$6:$C$32, 3, FALSE)</f>
        <v>46227</v>
      </c>
      <c r="H143" s="87">
        <v>1</v>
      </c>
      <c r="I143" s="86"/>
      <c r="J143" s="194" t="s">
        <v>4</v>
      </c>
      <c r="K143" s="194" t="s">
        <v>616</v>
      </c>
    </row>
    <row r="144" spans="1:11">
      <c r="A144" t="s">
        <v>338</v>
      </c>
      <c r="B144" t="s">
        <v>374</v>
      </c>
      <c r="C144" t="s">
        <v>631</v>
      </c>
      <c r="D144" t="s">
        <v>632</v>
      </c>
      <c r="E144">
        <v>32</v>
      </c>
      <c r="F144" s="70">
        <f>VLOOKUP(E144, sprintday!$A$6:$C$32, 2, FALSE)</f>
        <v>46216</v>
      </c>
      <c r="G144" s="70">
        <f>VLOOKUP(E144, sprintday!$A$6:$C$32, 3, FALSE)</f>
        <v>46227</v>
      </c>
      <c r="H144" s="87">
        <v>1</v>
      </c>
      <c r="I144" s="86"/>
      <c r="J144" s="194" t="s">
        <v>4</v>
      </c>
      <c r="K144" s="194" t="s">
        <v>616</v>
      </c>
    </row>
    <row r="145" spans="1:11">
      <c r="A145" t="s">
        <v>338</v>
      </c>
      <c r="B145" t="s">
        <v>374</v>
      </c>
      <c r="C145" t="s">
        <v>633</v>
      </c>
      <c r="D145" t="s">
        <v>634</v>
      </c>
      <c r="E145">
        <v>32</v>
      </c>
      <c r="F145" s="70">
        <f>VLOOKUP(E145, sprintday!$A$6:$C$32, 2, FALSE)</f>
        <v>46216</v>
      </c>
      <c r="G145" s="70">
        <f>VLOOKUP(E145, sprintday!$A$6:$C$32, 3, FALSE)</f>
        <v>46227</v>
      </c>
      <c r="H145" s="87">
        <v>1</v>
      </c>
      <c r="I145" s="86"/>
      <c r="J145" s="194" t="s">
        <v>4</v>
      </c>
      <c r="K145" s="194" t="s">
        <v>616</v>
      </c>
    </row>
    <row r="146" spans="1:11">
      <c r="A146" t="s">
        <v>338</v>
      </c>
      <c r="B146" t="s">
        <v>294</v>
      </c>
      <c r="C146" t="s">
        <v>635</v>
      </c>
      <c r="D146" t="s">
        <v>636</v>
      </c>
      <c r="E146">
        <v>33</v>
      </c>
      <c r="F146" s="70">
        <f>VLOOKUP(E146, sprintday!$A$6:$C$32, 2, FALSE)</f>
        <v>46230</v>
      </c>
      <c r="G146" s="70">
        <f>VLOOKUP(E146, sprintday!$A$6:$C$32, 3, FALSE)</f>
        <v>46241</v>
      </c>
      <c r="H146" s="87">
        <v>1</v>
      </c>
      <c r="I146" s="86" t="s">
        <v>327</v>
      </c>
      <c r="J146" s="194"/>
      <c r="K146" s="194"/>
    </row>
    <row r="147" spans="1:11">
      <c r="A147" t="s">
        <v>338</v>
      </c>
      <c r="B147" t="s">
        <v>296</v>
      </c>
      <c r="C147" t="s">
        <v>637</v>
      </c>
      <c r="D147" t="s">
        <v>638</v>
      </c>
      <c r="E147">
        <v>33</v>
      </c>
      <c r="F147" s="70">
        <f>VLOOKUP(E147, sprintday!$A$6:$C$32, 2, FALSE)</f>
        <v>46230</v>
      </c>
      <c r="G147" s="70">
        <f>VLOOKUP(E147, sprintday!$A$6:$C$32, 3, FALSE)</f>
        <v>46241</v>
      </c>
      <c r="H147" s="87">
        <v>0</v>
      </c>
      <c r="I147" s="86" t="s">
        <v>327</v>
      </c>
      <c r="J147" s="194"/>
      <c r="K147" s="194"/>
    </row>
    <row r="148" spans="1:11">
      <c r="A148" t="s">
        <v>338</v>
      </c>
      <c r="B148" t="s">
        <v>296</v>
      </c>
      <c r="D148" t="s">
        <v>639</v>
      </c>
      <c r="E148">
        <v>33</v>
      </c>
      <c r="F148" s="70">
        <f>VLOOKUP(E148, sprintday!$A$6:$C$32, 2, FALSE)</f>
        <v>46230</v>
      </c>
      <c r="G148" s="70">
        <f>VLOOKUP(E148, sprintday!$A$6:$C$32, 3, FALSE)</f>
        <v>46241</v>
      </c>
      <c r="H148" s="87">
        <v>0</v>
      </c>
      <c r="I148" s="86" t="s">
        <v>327</v>
      </c>
      <c r="J148" s="194"/>
      <c r="K148" s="194"/>
    </row>
    <row r="149" spans="1:11">
      <c r="A149" t="s">
        <v>338</v>
      </c>
      <c r="B149" t="s">
        <v>296</v>
      </c>
      <c r="D149" t="s">
        <v>640</v>
      </c>
      <c r="E149">
        <v>34</v>
      </c>
      <c r="F149" s="70">
        <f>VLOOKUP(E149, sprintday!$A$6:$C$32, 2, FALSE)</f>
        <v>46244</v>
      </c>
      <c r="G149" s="70">
        <f>VLOOKUP(E149, sprintday!$A$6:$C$32, 3, FALSE)</f>
        <v>46255</v>
      </c>
      <c r="H149" s="87">
        <v>0</v>
      </c>
      <c r="I149" s="86" t="s">
        <v>327</v>
      </c>
      <c r="J149" s="194"/>
      <c r="K149" s="194"/>
    </row>
    <row r="150" spans="1:11">
      <c r="A150" t="s">
        <v>338</v>
      </c>
      <c r="B150" t="s">
        <v>296</v>
      </c>
      <c r="D150" t="s">
        <v>641</v>
      </c>
      <c r="E150">
        <v>34</v>
      </c>
      <c r="F150" s="70">
        <f>VLOOKUP(E150, sprintday!$A$6:$C$32, 2, FALSE)</f>
        <v>46244</v>
      </c>
      <c r="G150" s="70">
        <f>VLOOKUP(E150, sprintday!$A$6:$C$32, 3, FALSE)</f>
        <v>46255</v>
      </c>
      <c r="H150" s="87">
        <v>0</v>
      </c>
      <c r="I150" s="86" t="s">
        <v>327</v>
      </c>
      <c r="J150" s="194"/>
      <c r="K150" s="194"/>
    </row>
    <row r="151" spans="1:11">
      <c r="A151" t="s">
        <v>338</v>
      </c>
      <c r="B151" t="s">
        <v>298</v>
      </c>
      <c r="D151" t="s">
        <v>642</v>
      </c>
      <c r="E151">
        <v>34</v>
      </c>
      <c r="F151" s="70">
        <f>VLOOKUP(E151, sprintday!$A$6:$C$32, 2, FALSE)</f>
        <v>46244</v>
      </c>
      <c r="G151" s="70">
        <f>VLOOKUP(E151, sprintday!$A$6:$C$32, 3, FALSE)</f>
        <v>46255</v>
      </c>
      <c r="H151" s="87">
        <v>0</v>
      </c>
      <c r="I151" s="86" t="s">
        <v>327</v>
      </c>
      <c r="J151" s="73" t="s">
        <v>521</v>
      </c>
      <c r="K151" s="194" t="s">
        <v>643</v>
      </c>
    </row>
    <row r="152" spans="1:11">
      <c r="A152" t="s">
        <v>338</v>
      </c>
      <c r="B152" t="s">
        <v>298</v>
      </c>
      <c r="D152" t="s">
        <v>644</v>
      </c>
      <c r="E152">
        <v>35</v>
      </c>
      <c r="F152" s="70">
        <f>VLOOKUP(E152, sprintday!$A$6:$C$32, 2, FALSE)</f>
        <v>46258</v>
      </c>
      <c r="G152" s="70">
        <f>VLOOKUP(E152, sprintday!$A$6:$C$32, 3, FALSE)</f>
        <v>46269</v>
      </c>
      <c r="H152" s="87">
        <v>0</v>
      </c>
      <c r="I152" s="86" t="s">
        <v>327</v>
      </c>
      <c r="J152" s="73" t="s">
        <v>521</v>
      </c>
      <c r="K152" s="194" t="s">
        <v>645</v>
      </c>
    </row>
    <row r="153" spans="1:11">
      <c r="A153" t="s">
        <v>338</v>
      </c>
      <c r="B153" t="s">
        <v>298</v>
      </c>
      <c r="D153" t="s">
        <v>646</v>
      </c>
      <c r="E153">
        <v>35</v>
      </c>
      <c r="F153" s="70">
        <f>VLOOKUP(E153, sprintday!$A$6:$C$32, 2, FALSE)</f>
        <v>46258</v>
      </c>
      <c r="G153" s="70">
        <f>VLOOKUP(E153, sprintday!$A$6:$C$32, 3, FALSE)</f>
        <v>46269</v>
      </c>
      <c r="H153" s="87">
        <v>0</v>
      </c>
      <c r="I153" s="86" t="s">
        <v>327</v>
      </c>
      <c r="J153" s="73" t="s">
        <v>521</v>
      </c>
      <c r="K153" s="194" t="s">
        <v>647</v>
      </c>
    </row>
    <row r="154" spans="1:11">
      <c r="A154" t="s">
        <v>338</v>
      </c>
      <c r="B154" t="s">
        <v>300</v>
      </c>
      <c r="D154" t="s">
        <v>648</v>
      </c>
      <c r="E154">
        <v>35</v>
      </c>
      <c r="F154" s="70">
        <f>VLOOKUP(E154, sprintday!$A$6:$C$32, 2, FALSE)</f>
        <v>46258</v>
      </c>
      <c r="G154" s="70">
        <f>VLOOKUP(E154, sprintday!$A$6:$C$32, 3, FALSE)</f>
        <v>46269</v>
      </c>
      <c r="H154" s="87">
        <v>0</v>
      </c>
      <c r="I154" s="86" t="s">
        <v>327</v>
      </c>
      <c r="J154" s="86"/>
      <c r="K154" s="86"/>
    </row>
    <row r="155" spans="1:11">
      <c r="A155" t="s">
        <v>338</v>
      </c>
      <c r="B155" t="s">
        <v>300</v>
      </c>
      <c r="D155" t="s">
        <v>649</v>
      </c>
      <c r="E155">
        <v>35</v>
      </c>
      <c r="F155" s="70">
        <f>VLOOKUP(E155, sprintday!$A$6:$C$32, 2, FALSE)</f>
        <v>46258</v>
      </c>
      <c r="G155" s="70">
        <f>VLOOKUP(E155, sprintday!$A$6:$C$32, 3, FALSE)</f>
        <v>46269</v>
      </c>
      <c r="H155" s="87">
        <v>0</v>
      </c>
      <c r="I155" s="86" t="s">
        <v>327</v>
      </c>
      <c r="J155" s="86"/>
      <c r="K155" s="86"/>
    </row>
    <row r="156" spans="1:11">
      <c r="A156" t="s">
        <v>343</v>
      </c>
      <c r="B156" t="s">
        <v>301</v>
      </c>
      <c r="D156" t="s">
        <v>650</v>
      </c>
      <c r="E156">
        <v>36</v>
      </c>
      <c r="F156" s="70">
        <f>VLOOKUP(E156, sprintday!$A$6:$C$32, 2, FALSE)</f>
        <v>46272</v>
      </c>
      <c r="G156" s="70">
        <f>VLOOKUP(E156, sprintday!$A$6:$C$32, 3, FALSE)</f>
        <v>46283</v>
      </c>
      <c r="H156" s="87">
        <v>0</v>
      </c>
      <c r="I156" s="86" t="s">
        <v>327</v>
      </c>
      <c r="J156" s="86"/>
      <c r="K156" s="86"/>
    </row>
    <row r="157" spans="1:11">
      <c r="A157" t="s">
        <v>343</v>
      </c>
      <c r="B157" t="s">
        <v>301</v>
      </c>
      <c r="D157" t="s">
        <v>651</v>
      </c>
      <c r="E157">
        <v>37</v>
      </c>
      <c r="F157" s="70">
        <f>VLOOKUP(E157, sprintday!$A$6:$C$32, 2, FALSE)</f>
        <v>46286</v>
      </c>
      <c r="G157" s="70">
        <f>VLOOKUP(E157, sprintday!$A$6:$C$32, 3, FALSE)</f>
        <v>46297</v>
      </c>
      <c r="H157" s="87">
        <v>0</v>
      </c>
      <c r="I157" s="86" t="s">
        <v>327</v>
      </c>
      <c r="J157" s="86"/>
      <c r="K157" s="86"/>
    </row>
    <row r="158" spans="1:11">
      <c r="A158" t="s">
        <v>343</v>
      </c>
      <c r="B158" t="s">
        <v>303</v>
      </c>
      <c r="D158" t="s">
        <v>652</v>
      </c>
      <c r="E158">
        <v>38</v>
      </c>
      <c r="F158" s="70">
        <f>VLOOKUP(E158, sprintday!$A$6:$C$32, 2, FALSE)</f>
        <v>46300</v>
      </c>
      <c r="G158" s="70">
        <f>VLOOKUP(E158, sprintday!$A$6:$C$32, 3, FALSE)</f>
        <v>46311</v>
      </c>
      <c r="H158" s="87">
        <v>0</v>
      </c>
      <c r="I158" s="86" t="s">
        <v>327</v>
      </c>
      <c r="J158" s="86"/>
      <c r="K158" s="86"/>
    </row>
    <row r="159" spans="1:11">
      <c r="A159" t="s">
        <v>343</v>
      </c>
      <c r="B159" t="s">
        <v>303</v>
      </c>
      <c r="D159" t="s">
        <v>653</v>
      </c>
      <c r="E159">
        <v>39</v>
      </c>
      <c r="F159" s="70">
        <f>VLOOKUP(E159, sprintday!$A$6:$C$32, 2, FALSE)</f>
        <v>46314</v>
      </c>
      <c r="G159" s="70">
        <f>VLOOKUP(E159, sprintday!$A$6:$C$32, 3, FALSE)</f>
        <v>46325</v>
      </c>
      <c r="H159" s="87">
        <v>0</v>
      </c>
      <c r="I159" s="86" t="s">
        <v>327</v>
      </c>
      <c r="J159" s="86"/>
      <c r="K159" s="86"/>
    </row>
    <row r="160" spans="1:11">
      <c r="A160" t="s">
        <v>343</v>
      </c>
      <c r="B160" t="s">
        <v>303</v>
      </c>
      <c r="D160" t="s">
        <v>654</v>
      </c>
      <c r="E160">
        <v>40</v>
      </c>
      <c r="F160" s="70">
        <f>VLOOKUP(E160, sprintday!$A$6:$C$32, 2, FALSE)</f>
        <v>46328</v>
      </c>
      <c r="G160" s="70">
        <f>VLOOKUP(E160, sprintday!$A$6:$C$32, 3, FALSE)</f>
        <v>46339</v>
      </c>
      <c r="H160" s="87">
        <v>0</v>
      </c>
      <c r="I160" s="86" t="s">
        <v>327</v>
      </c>
      <c r="J160" s="86"/>
      <c r="K160" s="86"/>
    </row>
    <row r="161" spans="1:11">
      <c r="A161" t="s">
        <v>343</v>
      </c>
      <c r="B161" t="s">
        <v>303</v>
      </c>
      <c r="D161" t="s">
        <v>655</v>
      </c>
      <c r="E161">
        <v>41</v>
      </c>
      <c r="F161" s="70">
        <f>VLOOKUP(E161, sprintday!$A$6:$C$32, 2, FALSE)</f>
        <v>46342</v>
      </c>
      <c r="G161" s="70">
        <f>VLOOKUP(E161, sprintday!$A$6:$C$32, 3, FALSE)</f>
        <v>46353</v>
      </c>
      <c r="H161" s="87">
        <v>0</v>
      </c>
      <c r="I161" s="86" t="s">
        <v>327</v>
      </c>
      <c r="J161" s="86"/>
      <c r="K161" s="86"/>
    </row>
    <row r="162" spans="1:11">
      <c r="A162" t="s">
        <v>335</v>
      </c>
      <c r="B162" t="s">
        <v>305</v>
      </c>
      <c r="D162" t="s">
        <v>656</v>
      </c>
      <c r="E162">
        <v>42</v>
      </c>
      <c r="F162" s="70">
        <f>VLOOKUP(E162, sprintday!$A$6:$C$32, 2, FALSE)</f>
        <v>46356</v>
      </c>
      <c r="G162" s="70">
        <f>VLOOKUP(E162, sprintday!$A$6:$C$32, 3, FALSE)</f>
        <v>46367</v>
      </c>
      <c r="H162" s="87">
        <v>0</v>
      </c>
      <c r="I162" s="86" t="s">
        <v>327</v>
      </c>
      <c r="J162" s="86"/>
      <c r="K162" s="86"/>
    </row>
    <row r="163" spans="1:11">
      <c r="A163" t="s">
        <v>335</v>
      </c>
      <c r="B163" t="s">
        <v>306</v>
      </c>
      <c r="D163" t="s">
        <v>657</v>
      </c>
      <c r="E163">
        <v>43</v>
      </c>
      <c r="F163" s="70">
        <f>VLOOKUP(E163, sprintday!$A$6:$C$32, 2, FALSE)</f>
        <v>46370</v>
      </c>
      <c r="G163" s="70">
        <f>VLOOKUP(E163, sprintday!$A$6:$C$32, 3, FALSE)</f>
        <v>46381</v>
      </c>
      <c r="H163" s="87">
        <v>0</v>
      </c>
      <c r="I163" s="86" t="s">
        <v>327</v>
      </c>
      <c r="J163" s="86"/>
      <c r="K163" s="86"/>
    </row>
  </sheetData>
  <autoFilter ref="A1:T163" xr:uid="{00000000-0009-0000-0000-00000B000000}"/>
  <hyperlinks>
    <hyperlink ref="C111" r:id="rId3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67"/>
  <sheetViews>
    <sheetView showGridLines="0" tabSelected="1" topLeftCell="A34" workbookViewId="0">
      <selection activeCell="N45" sqref="N45"/>
    </sheetView>
  </sheetViews>
  <sheetFormatPr defaultRowHeight="14.5"/>
  <cols>
    <col min="1" max="1" width="18" customWidth="1"/>
    <col min="2" max="2" width="14" customWidth="1"/>
    <col min="3" max="7" width="9" customWidth="1"/>
    <col min="8" max="16" width="4.453125" customWidth="1"/>
    <col min="17" max="17" width="14.81640625" bestFit="1" customWidth="1"/>
    <col min="18" max="18" width="8.1796875" bestFit="1" customWidth="1"/>
    <col min="19" max="20" width="8.7265625" customWidth="1"/>
    <col min="21" max="21" width="9.54296875" customWidth="1"/>
    <col min="22" max="22" width="9.7265625" customWidth="1"/>
    <col min="23" max="23" width="13.36328125" customWidth="1"/>
    <col min="24" max="27" width="4.453125" customWidth="1"/>
    <col min="28" max="28" width="7" customWidth="1"/>
  </cols>
  <sheetData>
    <row r="1" spans="1:23" s="364" customFormat="1" ht="18.5" customHeight="1">
      <c r="A1" s="363" t="s">
        <v>0</v>
      </c>
    </row>
    <row r="3" spans="1:23">
      <c r="Q3" s="341" t="s">
        <v>1</v>
      </c>
      <c r="R3" s="341" t="s">
        <v>2</v>
      </c>
      <c r="S3" s="341" t="s">
        <v>3</v>
      </c>
      <c r="T3" s="341" t="s">
        <v>4</v>
      </c>
      <c r="U3" s="341" t="s">
        <v>5</v>
      </c>
      <c r="V3" s="341" t="s">
        <v>6</v>
      </c>
      <c r="W3" s="341" t="s">
        <v>7</v>
      </c>
    </row>
    <row r="4" spans="1:23">
      <c r="Q4" s="365" t="s">
        <v>8</v>
      </c>
      <c r="R4" s="346">
        <f>COUNTIFS(baseline!$A$2:$A$163,"asm",baseline!$I$2:$I$163,"baseline")</f>
        <v>87</v>
      </c>
      <c r="S4" s="346">
        <f>COUNTIFS(baseline!$A$2:$A$163,"asm",baseline!$J$2:$J$163,"added")</f>
        <v>3</v>
      </c>
      <c r="T4" s="346">
        <f>COUNTIFS(baseline!$A$2:$A$163,"asm",baseline!$J$2:$J$163,"split")+COUNTIFS(baseline!$A$2:$A$163,"asm",baseline!$J$2:$J$163,"Split")</f>
        <v>0</v>
      </c>
      <c r="U4" s="346">
        <f>COUNTIFS(baseline!$A$2:$A$163,"asm",baseline!$J$2:$J$163,"moved")+COUNTIFS(baseline!$A$2:$A$163,"asm",baseline!$J$2:$J$163,"moved ")</f>
        <v>1</v>
      </c>
      <c r="V4" s="346">
        <f>COUNTIFS(baseline!$A$2:$A$163,"asm",baseline!$J$2:$J$163,"removed")</f>
        <v>0</v>
      </c>
      <c r="W4" s="346">
        <f>SUM(R4:V4)</f>
        <v>91</v>
      </c>
    </row>
    <row r="5" spans="1:23">
      <c r="Q5" s="365" t="s">
        <v>9</v>
      </c>
      <c r="R5" s="346">
        <f>COUNTIFS(baseline!$A$2:$A$163,"rca",baseline!$I$2:$I$163,"baseline")</f>
        <v>37</v>
      </c>
      <c r="S5" s="346">
        <f>COUNTIFS(baseline!$A$2:$A$163,"rca",baseline!$J$2:$J$163,"added")</f>
        <v>7</v>
      </c>
      <c r="T5" s="346">
        <f>COUNTIFS(baseline!$A$2:$A$163,"rca",baseline!$J$2:$J$163,"split")+COUNTIFS(baseline!$A$2:$A$163,"rca",baseline!$J$2:$J$163,"Split")</f>
        <v>26</v>
      </c>
      <c r="U5" s="346">
        <f>COUNTIFS(baseline!$A$2:$A$163,"rca",baseline!$J$2:$J$163,"moved")+COUNTIFS(baseline!$A$2:$A$163,"rca",baseline!$J$2:$J$163,"moved ")</f>
        <v>11</v>
      </c>
      <c r="V5" s="346">
        <f>COUNTIFS(baseline!$A$2:$A$163,"rca",baseline!$J$2:$J$163,"removed")</f>
        <v>1</v>
      </c>
      <c r="W5" s="346">
        <f>SUM(R5:V5)</f>
        <v>82</v>
      </c>
    </row>
    <row r="6" spans="1:23">
      <c r="Q6" s="365" t="s">
        <v>10</v>
      </c>
      <c r="R6" s="346">
        <f>COUNTIFS(baseline!$A$2:$A$163,"ui improvement",baseline!$I$2:$I$163,"baseline")</f>
        <v>6</v>
      </c>
      <c r="S6" s="346">
        <f>COUNTIFS(baseline!$A$2:$A$163,"ui improvement",baseline!$J$2:$J$163,"added")</f>
        <v>0</v>
      </c>
      <c r="T6" s="346">
        <f>COUNTIFS(baseline!$A$2:$A$163,"ui improvement",baseline!$J$2:$J$163,"split")+COUNTIFS(baseline!$A$2:$A$163,"ui improvement",baseline!$J$2:$J$163,"Split")</f>
        <v>0</v>
      </c>
      <c r="U6" s="346">
        <f>COUNTIFS(baseline!$A$2:$A$163,"ui improvement",baseline!$J$2:$J$163,"moved")+COUNTIFS(baseline!$A$2:$A$163,"ui improvement",baseline!$J$2:$J$163,"moved ")</f>
        <v>0</v>
      </c>
      <c r="V6" s="346">
        <f>COUNTIFS(baseline!$A$2:$A$163,"ui improvement",baseline!$J$2:$J$163,"removed")</f>
        <v>0</v>
      </c>
      <c r="W6" s="346">
        <f>SUM(R6:V6)</f>
        <v>6</v>
      </c>
    </row>
    <row r="7" spans="1:23">
      <c r="Q7" s="365" t="s">
        <v>11</v>
      </c>
      <c r="R7" s="346">
        <f>COUNTIFS(baseline!$A$2:$A$163,"handover",baseline!$I$2:$I$163,"baseline")</f>
        <v>2</v>
      </c>
      <c r="S7" s="346">
        <f>COUNTIFS(baseline!$A$2:$A$163,"handover",baseline!$J$2:$J$163,"added")</f>
        <v>0</v>
      </c>
      <c r="T7" s="346">
        <f>COUNTIFS(baseline!$A$2:$A$163,"handover",baseline!$J$2:$J$163,"split")+COUNTIFS(baseline!$A$2:$A$163,"handover",baseline!$J$2:$J$163,"Split")</f>
        <v>0</v>
      </c>
      <c r="U7" s="346">
        <f>COUNTIFS(baseline!$A$2:$A$163,"handover",baseline!$J$2:$J$163,"moved")+COUNTIFS(baseline!$A$2:$A$163,"handover",baseline!$J$2:$J$163,"moved ")</f>
        <v>0</v>
      </c>
      <c r="V7" s="346">
        <f>COUNTIFS(baseline!$A$2:$A$163,"handover",baseline!$J$2:$J$163,"removed")</f>
        <v>0</v>
      </c>
      <c r="W7" s="346">
        <f>SUM(R7:V7)</f>
        <v>2</v>
      </c>
    </row>
    <row r="8" spans="1:23">
      <c r="Q8" s="365" t="s">
        <v>12</v>
      </c>
      <c r="R8" s="346">
        <f>COUNTIFS(baseline!$A$2:$A$163,"sap",baseline!$I$2:$I$163,"baseline")</f>
        <v>7</v>
      </c>
      <c r="S8" s="346">
        <f>COUNTIFS(baseline!$A$2:$A$163,"sap",baseline!$J$2:$J$163,"added")</f>
        <v>1</v>
      </c>
      <c r="T8" s="346">
        <f>COUNTIFS(baseline!$A$2:$A$163,"sap",baseline!$J$2:$J$163,"split")+COUNTIFS(baseline!$A$2:$A$163,"sap",baseline!$J$2:$J$163,"Split")</f>
        <v>0</v>
      </c>
      <c r="U8" s="346">
        <f>COUNTIFS(baseline!$A$2:$A$163,"sap",baseline!$J$2:$J$163,"moved")+COUNTIFS(baseline!$A$2:$A$163,"sap",baseline!$J$2:$J$163,"moved ")</f>
        <v>1</v>
      </c>
      <c r="V8" s="346">
        <f>COUNTIFS(baseline!$A$2:$A$163,"sap",baseline!$J$2:$J$163,"removed")</f>
        <v>0</v>
      </c>
      <c r="W8" s="346">
        <f>SUM(R8:V8)</f>
        <v>9</v>
      </c>
    </row>
    <row r="10" spans="1:23">
      <c r="Q10" s="355"/>
    </row>
    <row r="11" spans="1:23">
      <c r="Q11" s="356"/>
    </row>
    <row r="12" spans="1:23">
      <c r="Q12" s="356"/>
    </row>
    <row r="13" spans="1:23">
      <c r="Q13" s="356"/>
    </row>
    <row r="14" spans="1:23">
      <c r="Q14" s="356"/>
    </row>
    <row r="15" spans="1:23">
      <c r="O15" s="356"/>
      <c r="P15" s="356"/>
      <c r="Q15" s="356"/>
    </row>
    <row r="18" spans="15:21">
      <c r="O18" s="355"/>
      <c r="P18" s="355"/>
      <c r="Q18" s="355"/>
      <c r="R18" s="355"/>
      <c r="S18" s="355"/>
      <c r="T18" s="355"/>
      <c r="U18" s="355"/>
    </row>
    <row r="19" spans="15:21">
      <c r="O19" s="356"/>
      <c r="P19" s="356"/>
      <c r="Q19" s="356"/>
      <c r="R19" s="356"/>
      <c r="S19" s="356"/>
      <c r="T19" s="356"/>
      <c r="U19" s="355"/>
    </row>
    <row r="20" spans="15:21">
      <c r="O20" s="356"/>
      <c r="P20" s="356"/>
      <c r="Q20" s="356"/>
      <c r="R20" s="356"/>
      <c r="S20" s="356"/>
      <c r="T20" s="356"/>
      <c r="U20" s="355"/>
    </row>
    <row r="21" spans="15:21">
      <c r="O21" s="356"/>
      <c r="P21" s="356"/>
      <c r="Q21" s="356"/>
      <c r="R21" s="356"/>
      <c r="S21" s="356"/>
      <c r="T21" s="356"/>
      <c r="U21" s="355"/>
    </row>
    <row r="22" spans="15:21">
      <c r="O22" s="356"/>
      <c r="P22" s="356"/>
      <c r="Q22" s="356"/>
      <c r="R22" s="356"/>
      <c r="S22" s="356"/>
      <c r="T22" s="356"/>
      <c r="U22" s="355"/>
    </row>
    <row r="33" spans="1:20">
      <c r="O33" s="355"/>
      <c r="P33" s="355"/>
      <c r="Q33" s="355"/>
      <c r="R33" s="355"/>
      <c r="S33" s="355"/>
      <c r="T33" s="355"/>
    </row>
    <row r="36" spans="1:20" s="364" customFormat="1" ht="18.5" customHeight="1">
      <c r="A36" s="363" t="s">
        <v>13</v>
      </c>
    </row>
    <row r="37" spans="1:20">
      <c r="A37" s="366" t="s">
        <v>14</v>
      </c>
      <c r="B37" s="367"/>
      <c r="C37" s="367"/>
      <c r="D37" s="367"/>
      <c r="E37" s="367"/>
      <c r="F37" s="367"/>
      <c r="G37" s="367"/>
      <c r="H37" s="368"/>
    </row>
    <row r="38" spans="1:20">
      <c r="A38" s="341" t="s">
        <v>15</v>
      </c>
      <c r="B38" s="341" t="s">
        <v>16</v>
      </c>
      <c r="C38" s="341" t="s">
        <v>8</v>
      </c>
      <c r="D38" s="341" t="s">
        <v>12</v>
      </c>
      <c r="E38" s="341" t="s">
        <v>9</v>
      </c>
      <c r="F38" s="341" t="s">
        <v>17</v>
      </c>
      <c r="G38" s="341" t="s">
        <v>18</v>
      </c>
      <c r="H38" s="341" t="s">
        <v>19</v>
      </c>
    </row>
    <row r="39" spans="1:20">
      <c r="A39" s="343" t="s">
        <v>20</v>
      </c>
      <c r="B39" s="344" t="s">
        <v>21</v>
      </c>
      <c r="C39" s="345">
        <f>COUNTIFS(baseline!$A$2:$A$163,"asm",baseline!$E$2:$E$163,18)</f>
        <v>8</v>
      </c>
      <c r="D39" s="346">
        <f>COUNTIFS(baseline!$A$2:$A$163,"sap",baseline!$E$2:$E$163,18)</f>
        <v>0</v>
      </c>
      <c r="E39" s="346">
        <f>COUNTIFS(baseline!$A$2:$A$163,"rca",baseline!$E$2:$E$163,18)</f>
        <v>0</v>
      </c>
      <c r="F39" s="346">
        <f>COUNTIFS(baseline!$A$2:$A$163,"ui improvement",baseline!$E$2:$E$163,18)</f>
        <v>0</v>
      </c>
      <c r="G39" s="346">
        <f>COUNTIFS(baseline!$A$2:$A$163,"handover",baseline!$E$2:$E$163,18)</f>
        <v>0</v>
      </c>
      <c r="H39" s="342">
        <f t="shared" ref="H39:H64" si="0">SUM(C39:G39)</f>
        <v>8</v>
      </c>
    </row>
    <row r="40" spans="1:20">
      <c r="A40" s="347" t="s">
        <v>22</v>
      </c>
      <c r="B40" s="346" t="s">
        <v>23</v>
      </c>
      <c r="C40" s="345">
        <f>COUNTIFS(baseline!$A$2:$A$163,"asm",baseline!$E$2:$E$163,19)</f>
        <v>14</v>
      </c>
      <c r="D40" s="346">
        <f>COUNTIFS(baseline!$A$2:$A$163,"sap",baseline!$E$2:$E$163,19)</f>
        <v>0</v>
      </c>
      <c r="E40" s="346">
        <f>COUNTIFS(baseline!$A$2:$A$163,"rca",baseline!$E$2:$E$163,19)</f>
        <v>0</v>
      </c>
      <c r="F40" s="346">
        <f>COUNTIFS(baseline!$A$2:$A$163,"ui improvement",baseline!$E$2:$E$163,19)</f>
        <v>0</v>
      </c>
      <c r="G40" s="346">
        <f>COUNTIFS(baseline!$A$2:$A$163,"handover",baseline!$E$2:$E$163,19)</f>
        <v>0</v>
      </c>
      <c r="H40" s="342">
        <f t="shared" si="0"/>
        <v>14</v>
      </c>
    </row>
    <row r="41" spans="1:20">
      <c r="A41" s="343" t="s">
        <v>24</v>
      </c>
      <c r="B41" s="344" t="s">
        <v>25</v>
      </c>
      <c r="C41" s="345">
        <f>COUNTIFS(baseline!$A$2:$A$163,"asm",baseline!$E$2:$E$163,20)</f>
        <v>13</v>
      </c>
      <c r="D41" s="348">
        <f>COUNTIFS(baseline!$A$2:$A$163,"sap",baseline!$E$2:$E$163,20)</f>
        <v>1</v>
      </c>
      <c r="E41" s="346">
        <f>COUNTIFS(baseline!$A$2:$A$163,"rca",baseline!$E$2:$E$163,20)</f>
        <v>0</v>
      </c>
      <c r="F41" s="346">
        <f>COUNTIFS(baseline!$A$2:$A$163,"ui improvement",baseline!$E$2:$E$163,20)</f>
        <v>0</v>
      </c>
      <c r="G41" s="346">
        <f>COUNTIFS(baseline!$A$2:$A$163,"handover",baseline!$E$2:$E$163,20)</f>
        <v>0</v>
      </c>
      <c r="H41" s="342">
        <f t="shared" si="0"/>
        <v>14</v>
      </c>
    </row>
    <row r="42" spans="1:20">
      <c r="A42" s="347" t="s">
        <v>26</v>
      </c>
      <c r="B42" s="346" t="s">
        <v>27</v>
      </c>
      <c r="C42" s="345">
        <f>COUNTIFS(baseline!$A$2:$A$163,"asm",baseline!$E$2:$E$163,21)</f>
        <v>7</v>
      </c>
      <c r="D42" s="348">
        <f>COUNTIFS(baseline!$A$2:$A$163,"sap",baseline!$E$2:$E$163,21)</f>
        <v>1</v>
      </c>
      <c r="E42" s="346">
        <f>COUNTIFS(baseline!$A$2:$A$163,"rca",baseline!$E$2:$E$163,21)</f>
        <v>0</v>
      </c>
      <c r="F42" s="346">
        <f>COUNTIFS(baseline!$A$2:$A$163,"ui improvement",baseline!$E$2:$E$163,21)</f>
        <v>0</v>
      </c>
      <c r="G42" s="346">
        <f>COUNTIFS(baseline!$A$2:$A$163,"handover",baseline!$E$2:$E$163,21)</f>
        <v>0</v>
      </c>
      <c r="H42" s="342">
        <f t="shared" si="0"/>
        <v>8</v>
      </c>
    </row>
    <row r="43" spans="1:20">
      <c r="A43" s="343" t="s">
        <v>28</v>
      </c>
      <c r="B43" s="344" t="s">
        <v>29</v>
      </c>
      <c r="C43" s="345">
        <f>COUNTIFS(baseline!$A$2:$A$163,"asm",baseline!$E$2:$E$163,22)</f>
        <v>11</v>
      </c>
      <c r="D43" s="346">
        <f>COUNTIFS(baseline!$A$2:$A$163,"sap",baseline!$E$2:$E$163,22)</f>
        <v>0</v>
      </c>
      <c r="E43" s="346">
        <f>COUNTIFS(baseline!$A$2:$A$163,"rca",baseline!$E$2:$E$163,22)</f>
        <v>0</v>
      </c>
      <c r="F43" s="346">
        <f>COUNTIFS(baseline!$A$2:$A$163,"ui improvement",baseline!$E$2:$E$163,22)</f>
        <v>0</v>
      </c>
      <c r="G43" s="346">
        <f>COUNTIFS(baseline!$A$2:$A$163,"handover",baseline!$E$2:$E$163,22)</f>
        <v>0</v>
      </c>
      <c r="H43" s="342">
        <f t="shared" si="0"/>
        <v>11</v>
      </c>
    </row>
    <row r="44" spans="1:20">
      <c r="A44" s="347" t="s">
        <v>30</v>
      </c>
      <c r="B44" s="346" t="s">
        <v>31</v>
      </c>
      <c r="C44" s="345">
        <f>COUNTIFS(baseline!$A$2:$A$163,"asm",baseline!$E$2:$E$163,23)</f>
        <v>7</v>
      </c>
      <c r="D44" s="346">
        <f>COUNTIFS(baseline!$A$2:$A$163,"sap",baseline!$E$2:$E$163,23)</f>
        <v>0</v>
      </c>
      <c r="E44" s="346">
        <f>COUNTIFS(baseline!$A$2:$A$163,"rca",baseline!$E$2:$E$163,23)</f>
        <v>0</v>
      </c>
      <c r="F44" s="346">
        <f>COUNTIFS(baseline!$A$2:$A$163,"ui improvement",baseline!$E$2:$E$163,23)</f>
        <v>0</v>
      </c>
      <c r="G44" s="346">
        <f>COUNTIFS(baseline!$A$2:$A$163,"handover",baseline!$E$2:$E$163,23)</f>
        <v>0</v>
      </c>
      <c r="H44" s="342">
        <f t="shared" si="0"/>
        <v>7</v>
      </c>
    </row>
    <row r="45" spans="1:20">
      <c r="A45" s="343" t="s">
        <v>32</v>
      </c>
      <c r="B45" s="344" t="s">
        <v>33</v>
      </c>
      <c r="C45" s="345">
        <f>COUNTIFS(baseline!$A$2:$A$163,"asm",baseline!$E$2:$E$163,24)</f>
        <v>10</v>
      </c>
      <c r="D45" s="346">
        <f>COUNTIFS(baseline!$A$2:$A$163,"sap",baseline!$E$2:$E$163,24)</f>
        <v>0</v>
      </c>
      <c r="E45" s="349">
        <f>COUNTIFS(baseline!$A$2:$A$163,"rca",baseline!$E$2:$E$163,24)</f>
        <v>1</v>
      </c>
      <c r="F45" s="346">
        <f>COUNTIFS(baseline!$A$2:$A$163,"ui improvement",baseline!$E$2:$E$163,24)</f>
        <v>0</v>
      </c>
      <c r="G45" s="346">
        <f>COUNTIFS(baseline!$A$2:$A$163,"handover",baseline!$E$2:$E$163,24)</f>
        <v>0</v>
      </c>
      <c r="H45" s="342">
        <f t="shared" si="0"/>
        <v>11</v>
      </c>
    </row>
    <row r="46" spans="1:20">
      <c r="A46" s="347" t="s">
        <v>34</v>
      </c>
      <c r="B46" s="346" t="s">
        <v>35</v>
      </c>
      <c r="C46" s="345">
        <f>COUNTIFS(baseline!$A$2:$A$163,"asm",baseline!$E$2:$E$163,25)</f>
        <v>2</v>
      </c>
      <c r="D46" s="348">
        <f>COUNTIFS(baseline!$A$2:$A$163,"sap",baseline!$E$2:$E$163,25)</f>
        <v>2</v>
      </c>
      <c r="E46" s="349">
        <f>COUNTIFS(baseline!$A$2:$A$163,"rca",baseline!$E$2:$E$163,25)</f>
        <v>1</v>
      </c>
      <c r="F46" s="346">
        <f>COUNTIFS(baseline!$A$2:$A$163,"ui improvement",baseline!$E$2:$E$163,25)</f>
        <v>0</v>
      </c>
      <c r="G46" s="346">
        <f>COUNTIFS(baseline!$A$2:$A$163,"handover",baseline!$E$2:$E$163,25)</f>
        <v>0</v>
      </c>
      <c r="H46" s="342">
        <f t="shared" si="0"/>
        <v>5</v>
      </c>
    </row>
    <row r="47" spans="1:20">
      <c r="A47" s="343" t="s">
        <v>36</v>
      </c>
      <c r="B47" s="344" t="s">
        <v>37</v>
      </c>
      <c r="C47" s="345">
        <f>COUNTIFS(baseline!$A$2:$A$163,"asm",baseline!$E$2:$E$163,26)</f>
        <v>5</v>
      </c>
      <c r="D47" s="348">
        <f>COUNTIFS(baseline!$A$2:$A$163,"sap",baseline!$E$2:$E$163,26)</f>
        <v>1</v>
      </c>
      <c r="E47" s="346">
        <f>COUNTIFS(baseline!$A$2:$A$163,"rca",baseline!$E$2:$E$163,26)</f>
        <v>0</v>
      </c>
      <c r="F47" s="346">
        <f>COUNTIFS(baseline!$A$2:$A$163,"ui improvement",baseline!$E$2:$E$163,26)</f>
        <v>0</v>
      </c>
      <c r="G47" s="346">
        <f>COUNTIFS(baseline!$A$2:$A$163,"handover",baseline!$E$2:$E$163,26)</f>
        <v>0</v>
      </c>
      <c r="H47" s="342">
        <f t="shared" si="0"/>
        <v>6</v>
      </c>
    </row>
    <row r="48" spans="1:20">
      <c r="A48" s="347" t="s">
        <v>38</v>
      </c>
      <c r="B48" s="346" t="s">
        <v>39</v>
      </c>
      <c r="C48" s="345">
        <f>COUNTIFS(baseline!$A$2:$A$163,"asm",baseline!$E$2:$E$163,27)</f>
        <v>6</v>
      </c>
      <c r="D48" s="348">
        <f>COUNTIFS(baseline!$A$2:$A$163,"sap",baseline!$E$2:$E$163,27)</f>
        <v>1</v>
      </c>
      <c r="E48" s="349">
        <f>COUNTIFS(baseline!$A$2:$A$163,"rca",baseline!$E$2:$E$163,27)</f>
        <v>4</v>
      </c>
      <c r="F48" s="346">
        <f>COUNTIFS(baseline!$A$2:$A$163,"ui improvement",baseline!$E$2:$E$163,27)</f>
        <v>0</v>
      </c>
      <c r="G48" s="346">
        <f>COUNTIFS(baseline!$A$2:$A$163,"handover",baseline!$E$2:$E$163,27)</f>
        <v>0</v>
      </c>
      <c r="H48" s="342">
        <f t="shared" si="0"/>
        <v>11</v>
      </c>
    </row>
    <row r="49" spans="1:8">
      <c r="A49" s="343" t="s">
        <v>40</v>
      </c>
      <c r="B49" s="344" t="s">
        <v>41</v>
      </c>
      <c r="C49" s="345">
        <f>COUNTIFS(baseline!$A$2:$A$163,"asm",baseline!$E$2:$E$163,28)</f>
        <v>5</v>
      </c>
      <c r="D49" s="348">
        <f>COUNTIFS(baseline!$A$2:$A$163,"sap",baseline!$E$2:$E$163,28)</f>
        <v>1</v>
      </c>
      <c r="E49" s="349">
        <f>COUNTIFS(baseline!$A$2:$A$163,"rca",baseline!$E$2:$E$163,28)</f>
        <v>4</v>
      </c>
      <c r="F49" s="346">
        <f>COUNTIFS(baseline!$A$2:$A$163,"ui improvement",baseline!$E$2:$E$163,28)</f>
        <v>0</v>
      </c>
      <c r="G49" s="346">
        <f>COUNTIFS(baseline!$A$2:$A$163,"handover",baseline!$E$2:$E$163,28)</f>
        <v>0</v>
      </c>
      <c r="H49" s="342">
        <f t="shared" si="0"/>
        <v>10</v>
      </c>
    </row>
    <row r="50" spans="1:8">
      <c r="A50" s="347" t="s">
        <v>42</v>
      </c>
      <c r="B50" s="346" t="s">
        <v>43</v>
      </c>
      <c r="C50" s="345">
        <f>COUNTIFS(baseline!$A$2:$A$163,"asm",baseline!$E$2:$E$163,29)</f>
        <v>1</v>
      </c>
      <c r="D50" s="346">
        <f>COUNTIFS(baseline!$A$2:$A$163,"sap",baseline!$E$2:$E$163,29)</f>
        <v>0</v>
      </c>
      <c r="E50" s="349">
        <f>COUNTIFS(baseline!$A$2:$A$163,"rca",baseline!$E$2:$E$163,29)</f>
        <v>7</v>
      </c>
      <c r="F50" s="346">
        <f>COUNTIFS(baseline!$A$2:$A$163,"ui improvement",baseline!$E$2:$E$163,29)</f>
        <v>0</v>
      </c>
      <c r="G50" s="346">
        <f>COUNTIFS(baseline!$A$2:$A$163,"handover",baseline!$E$2:$E$163,29)</f>
        <v>0</v>
      </c>
      <c r="H50" s="342">
        <f t="shared" si="0"/>
        <v>8</v>
      </c>
    </row>
    <row r="51" spans="1:8">
      <c r="A51" s="343" t="s">
        <v>44</v>
      </c>
      <c r="B51" s="344" t="s">
        <v>45</v>
      </c>
      <c r="C51" s="345">
        <f>COUNTIFS(baseline!$A$2:$A$163,"asm",baseline!$E$2:$E$163,30)</f>
        <v>1</v>
      </c>
      <c r="D51" s="348">
        <f>COUNTIFS(baseline!$A$2:$A$163,"sap",baseline!$E$2:$E$163,30)</f>
        <v>1</v>
      </c>
      <c r="E51" s="349">
        <f>COUNTIFS(baseline!$A$2:$A$163,"rca",baseline!$E$2:$E$163,30)</f>
        <v>9</v>
      </c>
      <c r="F51" s="346">
        <f>COUNTIFS(baseline!$A$2:$A$163,"ui improvement",baseline!$E$2:$E$163,30)</f>
        <v>0</v>
      </c>
      <c r="G51" s="346">
        <f>COUNTIFS(baseline!$A$2:$A$163,"handover",baseline!$E$2:$E$163,30)</f>
        <v>0</v>
      </c>
      <c r="H51" s="342">
        <f t="shared" si="0"/>
        <v>11</v>
      </c>
    </row>
    <row r="52" spans="1:8">
      <c r="A52" s="347" t="s">
        <v>46</v>
      </c>
      <c r="B52" s="346" t="s">
        <v>47</v>
      </c>
      <c r="C52" s="346">
        <f>COUNTIFS(baseline!$A$2:$A$163,"asm",baseline!$E$2:$E$163,31)</f>
        <v>0</v>
      </c>
      <c r="D52" s="346">
        <f>COUNTIFS(baseline!$A$2:$A$163,"sap",baseline!$E$2:$E$163,31)</f>
        <v>0</v>
      </c>
      <c r="E52" s="349">
        <f>COUNTIFS(baseline!$A$2:$A$163,"rca",baseline!$E$2:$E$163,31)</f>
        <v>5</v>
      </c>
      <c r="F52" s="346">
        <f>COUNTIFS(baseline!$A$2:$A$163,"ui improvement",baseline!$E$2:$E$163,31)</f>
        <v>0</v>
      </c>
      <c r="G52" s="346">
        <f>COUNTIFS(baseline!$A$2:$A$163,"handover",baseline!$E$2:$E$163,31)</f>
        <v>0</v>
      </c>
      <c r="H52" s="342">
        <f t="shared" si="0"/>
        <v>5</v>
      </c>
    </row>
    <row r="53" spans="1:8">
      <c r="A53" s="343" t="s">
        <v>48</v>
      </c>
      <c r="B53" s="344" t="s">
        <v>49</v>
      </c>
      <c r="C53" s="346">
        <f>COUNTIFS(baseline!$A$2:$A$163,"asm",baseline!$E$2:$E$163,32)</f>
        <v>0</v>
      </c>
      <c r="D53" s="346">
        <f>COUNTIFS(baseline!$A$2:$A$163,"sap",baseline!$E$2:$E$163,32)</f>
        <v>0</v>
      </c>
      <c r="E53" s="349">
        <f>COUNTIFS(baseline!$A$2:$A$163,"rca",baseline!$E$2:$E$163,32)</f>
        <v>15</v>
      </c>
      <c r="F53" s="346">
        <f>COUNTIFS(baseline!$A$2:$A$163,"ui improvement",baseline!$E$2:$E$163,32)</f>
        <v>0</v>
      </c>
      <c r="G53" s="346">
        <f>COUNTIFS(baseline!$A$2:$A$163,"handover",baseline!$E$2:$E$163,32)</f>
        <v>0</v>
      </c>
      <c r="H53" s="342">
        <f t="shared" si="0"/>
        <v>15</v>
      </c>
    </row>
    <row r="54" spans="1:8">
      <c r="A54" s="347" t="s">
        <v>50</v>
      </c>
      <c r="B54" s="346" t="s">
        <v>51</v>
      </c>
      <c r="C54" s="346">
        <f>COUNTIFS(baseline!$A$2:$A$163,"asm",baseline!$E$2:$E$163,33)</f>
        <v>0</v>
      </c>
      <c r="D54" s="346">
        <f>COUNTIFS(baseline!$A$2:$A$163,"sap",baseline!$E$2:$E$163,33)</f>
        <v>0</v>
      </c>
      <c r="E54" s="349">
        <f>COUNTIFS(baseline!$A$2:$A$163,"rca",baseline!$E$2:$E$163,33)</f>
        <v>3</v>
      </c>
      <c r="F54" s="346">
        <f>COUNTIFS(baseline!$A$2:$A$163,"ui improvement",baseline!$E$2:$E$163,33)</f>
        <v>0</v>
      </c>
      <c r="G54" s="346">
        <f>COUNTIFS(baseline!$A$2:$A$163,"handover",baseline!$E$2:$E$163,33)</f>
        <v>0</v>
      </c>
      <c r="H54" s="342">
        <f t="shared" si="0"/>
        <v>3</v>
      </c>
    </row>
    <row r="55" spans="1:8">
      <c r="A55" s="343" t="s">
        <v>52</v>
      </c>
      <c r="B55" s="344" t="s">
        <v>53</v>
      </c>
      <c r="C55" s="346">
        <f>COUNTIFS(baseline!$A$2:$A$163,"asm",baseline!$E$2:$E$163,34)</f>
        <v>0</v>
      </c>
      <c r="D55" s="346">
        <f>COUNTIFS(baseline!$A$2:$A$163,"sap",baseline!$E$2:$E$163,34)</f>
        <v>0</v>
      </c>
      <c r="E55" s="349">
        <f>COUNTIFS(baseline!$A$2:$A$163,"rca",baseline!$E$2:$E$163,34)</f>
        <v>3</v>
      </c>
      <c r="F55" s="346">
        <f>COUNTIFS(baseline!$A$2:$A$163,"ui improvement",baseline!$E$2:$E$163,34)</f>
        <v>0</v>
      </c>
      <c r="G55" s="346">
        <f>COUNTIFS(baseline!$A$2:$A$163,"handover",baseline!$E$2:$E$163,34)</f>
        <v>0</v>
      </c>
      <c r="H55" s="342">
        <f t="shared" si="0"/>
        <v>3</v>
      </c>
    </row>
    <row r="56" spans="1:8">
      <c r="A56" s="347" t="s">
        <v>54</v>
      </c>
      <c r="B56" s="346" t="s">
        <v>55</v>
      </c>
      <c r="C56" s="346">
        <f>COUNTIFS(baseline!$A$2:$A$163,"asm",baseline!$E$2:$E$163,35)</f>
        <v>0</v>
      </c>
      <c r="D56" s="346">
        <f>COUNTIFS(baseline!$A$2:$A$163,"sap",baseline!$E$2:$E$163,35)</f>
        <v>0</v>
      </c>
      <c r="E56" s="349">
        <f>COUNTIFS(baseline!$A$2:$A$163,"rca",baseline!$E$2:$E$163,35)</f>
        <v>4</v>
      </c>
      <c r="F56" s="346">
        <f>COUNTIFS(baseline!$A$2:$A$163,"ui improvement",baseline!$E$2:$E$163,35)</f>
        <v>0</v>
      </c>
      <c r="G56" s="346">
        <f>COUNTIFS(baseline!$A$2:$A$163,"handover",baseline!$E$2:$E$163,35)</f>
        <v>0</v>
      </c>
      <c r="H56" s="342">
        <f t="shared" si="0"/>
        <v>4</v>
      </c>
    </row>
    <row r="57" spans="1:8">
      <c r="A57" s="343" t="s">
        <v>56</v>
      </c>
      <c r="B57" s="344" t="s">
        <v>57</v>
      </c>
      <c r="C57" s="346">
        <f>COUNTIFS(baseline!$A$2:$A$163,"asm",baseline!$E$2:$E$163,36)</f>
        <v>0</v>
      </c>
      <c r="D57" s="346">
        <f>COUNTIFS(baseline!$A$2:$A$163,"sap",baseline!$E$2:$E$163,36)</f>
        <v>0</v>
      </c>
      <c r="E57" s="346">
        <f>COUNTIFS(baseline!$A$2:$A$163,"rca",baseline!$E$2:$E$163,36)</f>
        <v>0</v>
      </c>
      <c r="F57" s="350">
        <f>COUNTIFS(baseline!$A$2:$A$163,"ui improvement",baseline!$E$2:$E$163,36)</f>
        <v>1</v>
      </c>
      <c r="G57" s="346">
        <f>COUNTIFS(baseline!$A$2:$A$163,"handover",baseline!$E$2:$E$163,36)</f>
        <v>0</v>
      </c>
      <c r="H57" s="342">
        <f t="shared" si="0"/>
        <v>1</v>
      </c>
    </row>
    <row r="58" spans="1:8">
      <c r="A58" s="347" t="s">
        <v>58</v>
      </c>
      <c r="B58" s="346" t="s">
        <v>59</v>
      </c>
      <c r="C58" s="346">
        <f>COUNTIFS(baseline!$A$2:$A$163,"asm",baseline!$E$2:$E$163,37)</f>
        <v>0</v>
      </c>
      <c r="D58" s="346">
        <f>COUNTIFS(baseline!$A$2:$A$163,"sap",baseline!$E$2:$E$163,37)</f>
        <v>0</v>
      </c>
      <c r="E58" s="346">
        <f>COUNTIFS(baseline!$A$2:$A$163,"rca",baseline!$E$2:$E$163,37)</f>
        <v>0</v>
      </c>
      <c r="F58" s="350">
        <f>COUNTIFS(baseline!$A$2:$A$163,"ui improvement",baseline!$E$2:$E$163,37)</f>
        <v>1</v>
      </c>
      <c r="G58" s="346">
        <f>COUNTIFS(baseline!$A$2:$A$163,"handover",baseline!$E$2:$E$163,37)</f>
        <v>0</v>
      </c>
      <c r="H58" s="342">
        <f t="shared" si="0"/>
        <v>1</v>
      </c>
    </row>
    <row r="59" spans="1:8">
      <c r="A59" s="343" t="s">
        <v>60</v>
      </c>
      <c r="B59" s="344" t="s">
        <v>61</v>
      </c>
      <c r="C59" s="346">
        <f>COUNTIFS(baseline!$A$2:$A$163,"asm",baseline!$E$2:$E$163,38)</f>
        <v>0</v>
      </c>
      <c r="D59" s="346">
        <f>COUNTIFS(baseline!$A$2:$A$163,"sap",baseline!$E$2:$E$163,38)</f>
        <v>0</v>
      </c>
      <c r="E59" s="346">
        <f>COUNTIFS(baseline!$A$2:$A$163,"rca",baseline!$E$2:$E$163,38)</f>
        <v>0</v>
      </c>
      <c r="F59" s="350">
        <f>COUNTIFS(baseline!$A$2:$A$163,"ui improvement",baseline!$E$2:$E$163,38)</f>
        <v>1</v>
      </c>
      <c r="G59" s="346">
        <f>COUNTIFS(baseline!$A$2:$A$163,"handover",baseline!$E$2:$E$163,38)</f>
        <v>0</v>
      </c>
      <c r="H59" s="342">
        <f t="shared" si="0"/>
        <v>1</v>
      </c>
    </row>
    <row r="60" spans="1:8">
      <c r="A60" s="347" t="s">
        <v>62</v>
      </c>
      <c r="B60" s="346" t="s">
        <v>63</v>
      </c>
      <c r="C60" s="346">
        <f>COUNTIFS(baseline!$A$2:$A$163,"asm",baseline!$E$2:$E$163,39)</f>
        <v>0</v>
      </c>
      <c r="D60" s="346">
        <f>COUNTIFS(baseline!$A$2:$A$163,"sap",baseline!$E$2:$E$163,39)</f>
        <v>0</v>
      </c>
      <c r="E60" s="346">
        <f>COUNTIFS(baseline!$A$2:$A$163,"rca",baseline!$E$2:$E$163,39)</f>
        <v>0</v>
      </c>
      <c r="F60" s="350">
        <f>COUNTIFS(baseline!$A$2:$A$163,"ui improvement",baseline!$E$2:$E$163,39)</f>
        <v>1</v>
      </c>
      <c r="G60" s="346">
        <f>COUNTIFS(baseline!$A$2:$A$163,"handover",baseline!$E$2:$E$163,39)</f>
        <v>0</v>
      </c>
      <c r="H60" s="342">
        <f t="shared" si="0"/>
        <v>1</v>
      </c>
    </row>
    <row r="61" spans="1:8">
      <c r="A61" s="343" t="s">
        <v>64</v>
      </c>
      <c r="B61" s="344" t="s">
        <v>65</v>
      </c>
      <c r="C61" s="346">
        <f>COUNTIFS(baseline!$A$2:$A$163,"asm",baseline!$E$2:$E$163,40)</f>
        <v>0</v>
      </c>
      <c r="D61" s="346">
        <f>COUNTIFS(baseline!$A$2:$A$163,"sap",baseline!$E$2:$E$163,40)</f>
        <v>0</v>
      </c>
      <c r="E61" s="346">
        <f>COUNTIFS(baseline!$A$2:$A$163,"rca",baseline!$E$2:$E$163,40)</f>
        <v>0</v>
      </c>
      <c r="F61" s="350">
        <f>COUNTIFS(baseline!$A$2:$A$163,"ui improvement",baseline!$E$2:$E$163,40)</f>
        <v>1</v>
      </c>
      <c r="G61" s="346">
        <f>COUNTIFS(baseline!$A$2:$A$163,"handover",baseline!$E$2:$E$163,40)</f>
        <v>0</v>
      </c>
      <c r="H61" s="342">
        <f t="shared" si="0"/>
        <v>1</v>
      </c>
    </row>
    <row r="62" spans="1:8">
      <c r="A62" s="347" t="s">
        <v>66</v>
      </c>
      <c r="B62" s="346" t="s">
        <v>67</v>
      </c>
      <c r="C62" s="346">
        <f>COUNTIFS(baseline!$A$2:$A$163,"asm",baseline!$E$2:$E$163,41)</f>
        <v>0</v>
      </c>
      <c r="D62" s="346">
        <f>COUNTIFS(baseline!$A$2:$A$163,"sap",baseline!$E$2:$E$163,41)</f>
        <v>0</v>
      </c>
      <c r="E62" s="346">
        <f>COUNTIFS(baseline!$A$2:$A$163,"rca",baseline!$E$2:$E$163,41)</f>
        <v>0</v>
      </c>
      <c r="F62" s="350">
        <f>COUNTIFS(baseline!$A$2:$A$163,"ui improvement",baseline!$E$2:$E$163,41)</f>
        <v>1</v>
      </c>
      <c r="G62" s="346">
        <f>COUNTIFS(baseline!$A$2:$A$163,"handover",baseline!$E$2:$E$163,41)</f>
        <v>0</v>
      </c>
      <c r="H62" s="342">
        <f t="shared" si="0"/>
        <v>1</v>
      </c>
    </row>
    <row r="63" spans="1:8">
      <c r="A63" s="343" t="s">
        <v>68</v>
      </c>
      <c r="B63" s="344" t="s">
        <v>69</v>
      </c>
      <c r="C63" s="346">
        <f>COUNTIFS(baseline!$A$2:$A$163,"asm",baseline!$E$2:$E$163,42)</f>
        <v>0</v>
      </c>
      <c r="D63" s="346">
        <f>COUNTIFS(baseline!$A$2:$A$163,"sap",baseline!$E$2:$E$163,42)</f>
        <v>0</v>
      </c>
      <c r="E63" s="346">
        <f>COUNTIFS(baseline!$A$2:$A$163,"rca",baseline!$E$2:$E$163,42)</f>
        <v>0</v>
      </c>
      <c r="F63" s="346">
        <f>COUNTIFS(baseline!$A$2:$A$163,"ui improvement",baseline!$E$2:$E$163,42)</f>
        <v>0</v>
      </c>
      <c r="G63" s="351">
        <f>COUNTIFS(baseline!$A$2:$A$163,"handover",baseline!$E$2:$E$163,42)</f>
        <v>1</v>
      </c>
      <c r="H63" s="342">
        <f t="shared" si="0"/>
        <v>1</v>
      </c>
    </row>
    <row r="64" spans="1:8">
      <c r="A64" s="347" t="s">
        <v>70</v>
      </c>
      <c r="B64" s="346" t="s">
        <v>71</v>
      </c>
      <c r="C64" s="346">
        <f>COUNTIFS(baseline!$A$2:$A$163,"asm",baseline!$E$2:$E$163,43)</f>
        <v>0</v>
      </c>
      <c r="D64" s="346">
        <f>COUNTIFS(baseline!$A$2:$A$163,"sap",baseline!$E$2:$E$163,43)</f>
        <v>0</v>
      </c>
      <c r="E64" s="346">
        <f>COUNTIFS(baseline!$A$2:$A$163,"rca",baseline!$E$2:$E$163,43)</f>
        <v>0</v>
      </c>
      <c r="F64" s="346">
        <f>COUNTIFS(baseline!$A$2:$A$163,"ui improvement",baseline!$E$2:$E$163,43)</f>
        <v>0</v>
      </c>
      <c r="G64" s="351">
        <f>COUNTIFS(baseline!$A$2:$A$163,"handover",baseline!$E$2:$E$163,43)</f>
        <v>1</v>
      </c>
      <c r="H64" s="342">
        <f t="shared" si="0"/>
        <v>1</v>
      </c>
    </row>
    <row r="65" spans="1:8">
      <c r="A65" s="352" t="s">
        <v>72</v>
      </c>
      <c r="B65" s="353"/>
      <c r="C65" s="342">
        <f t="shared" ref="C65:H65" si="1">SUM(C39:C64)</f>
        <v>90</v>
      </c>
      <c r="D65" s="342">
        <f t="shared" si="1"/>
        <v>8</v>
      </c>
      <c r="E65" s="342">
        <f t="shared" si="1"/>
        <v>56</v>
      </c>
      <c r="F65" s="342">
        <f t="shared" si="1"/>
        <v>6</v>
      </c>
      <c r="G65" s="342">
        <f t="shared" si="1"/>
        <v>2</v>
      </c>
      <c r="H65" s="354">
        <f t="shared" si="1"/>
        <v>162</v>
      </c>
    </row>
    <row r="67" spans="1:8">
      <c r="A67" s="357" t="s">
        <v>73</v>
      </c>
      <c r="C67" s="358" t="s">
        <v>8</v>
      </c>
      <c r="D67" s="359" t="s">
        <v>12</v>
      </c>
      <c r="E67" s="360" t="s">
        <v>9</v>
      </c>
      <c r="F67" s="361" t="s">
        <v>17</v>
      </c>
      <c r="G67" s="362" t="s">
        <v>18</v>
      </c>
    </row>
  </sheetData>
  <mergeCells count="1">
    <mergeCell ref="A37:H37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53"/>
  <sheetViews>
    <sheetView showGridLines="0" zoomScaleNormal="100" workbookViewId="0">
      <selection activeCell="D20" sqref="D20"/>
    </sheetView>
  </sheetViews>
  <sheetFormatPr defaultColWidth="8.7265625" defaultRowHeight="14.5"/>
  <cols>
    <col min="1" max="1" width="43.81640625" style="195" customWidth="1"/>
    <col min="2" max="2" width="21.453125" style="195" customWidth="1"/>
    <col min="3" max="3" width="34.7265625" style="195" bestFit="1" customWidth="1"/>
    <col min="4" max="4" width="21" style="195" customWidth="1"/>
    <col min="5" max="5" width="40" style="195" customWidth="1"/>
    <col min="6" max="6" width="43.81640625" style="195" customWidth="1"/>
    <col min="7" max="7" width="81.81640625" style="195" customWidth="1"/>
    <col min="8" max="8" width="2.81640625" style="195" customWidth="1"/>
    <col min="9" max="9" width="29.81640625" style="195" customWidth="1"/>
    <col min="10" max="17" width="8.7265625" style="195" customWidth="1"/>
    <col min="18" max="20" width="17.1796875" style="195" customWidth="1"/>
    <col min="21" max="24" width="8.7265625" style="195" customWidth="1"/>
    <col min="25" max="16384" width="8.7265625" style="195"/>
  </cols>
  <sheetData>
    <row r="1" spans="1:7" ht="15" customHeight="1">
      <c r="A1" s="324" t="s">
        <v>658</v>
      </c>
    </row>
    <row r="2" spans="1:7" ht="15" customHeight="1">
      <c r="A2" s="323" t="s">
        <v>659</v>
      </c>
    </row>
    <row r="3" spans="1:7" ht="15" customHeight="1">
      <c r="A3" s="328" t="s">
        <v>660</v>
      </c>
    </row>
    <row r="4" spans="1:7" ht="15" customHeight="1">
      <c r="A4" s="310"/>
      <c r="B4" s="309"/>
      <c r="C4" s="309"/>
      <c r="D4" s="309"/>
      <c r="E4" s="309"/>
      <c r="F4" s="309"/>
      <c r="G4" s="309"/>
    </row>
    <row r="5" spans="1:7" ht="15" customHeight="1"/>
    <row r="11" spans="1:7" ht="15" customHeight="1"/>
    <row r="25" spans="1:6">
      <c r="A25" s="322" t="s">
        <v>661</v>
      </c>
    </row>
    <row r="26" spans="1:6">
      <c r="A26" s="318" t="s">
        <v>1</v>
      </c>
      <c r="B26" s="318" t="s">
        <v>2</v>
      </c>
      <c r="C26" s="318" t="s">
        <v>662</v>
      </c>
      <c r="E26" s="318" t="s">
        <v>663</v>
      </c>
      <c r="F26" s="318" t="s">
        <v>664</v>
      </c>
    </row>
    <row r="27" spans="1:6">
      <c r="A27" s="325" t="str">
        <f t="shared" ref="A27:B30" si="0">A48</f>
        <v>asm</v>
      </c>
      <c r="B27" s="325">
        <f t="shared" si="0"/>
        <v>87</v>
      </c>
      <c r="C27" s="325">
        <f>F48</f>
        <v>90</v>
      </c>
      <c r="E27" s="325" t="s">
        <v>665</v>
      </c>
      <c r="F27" s="325">
        <f>B39</f>
        <v>11</v>
      </c>
    </row>
    <row r="28" spans="1:6">
      <c r="A28" s="325" t="str">
        <f t="shared" si="0"/>
        <v>rca</v>
      </c>
      <c r="B28" s="325">
        <f t="shared" si="0"/>
        <v>37</v>
      </c>
      <c r="C28" s="325">
        <f>F49</f>
        <v>56</v>
      </c>
      <c r="E28" s="325" t="s">
        <v>666</v>
      </c>
      <c r="F28" s="325">
        <f>B40</f>
        <v>12</v>
      </c>
    </row>
    <row r="29" spans="1:6">
      <c r="A29" s="325" t="str">
        <f t="shared" si="0"/>
        <v>ui improvement</v>
      </c>
      <c r="B29" s="325">
        <f t="shared" si="0"/>
        <v>6</v>
      </c>
      <c r="C29" s="325">
        <f>F50</f>
        <v>6</v>
      </c>
      <c r="E29" s="325" t="s">
        <v>667</v>
      </c>
      <c r="F29" s="325">
        <f>B43</f>
        <v>13</v>
      </c>
    </row>
    <row r="30" spans="1:6">
      <c r="A30" s="325" t="str">
        <f t="shared" si="0"/>
        <v>handover</v>
      </c>
      <c r="B30" s="325">
        <f t="shared" si="0"/>
        <v>2</v>
      </c>
      <c r="C30" s="325">
        <f>F51</f>
        <v>2</v>
      </c>
      <c r="E30" s="325" t="s">
        <v>6</v>
      </c>
      <c r="F30" s="325">
        <f>B42</f>
        <v>1</v>
      </c>
    </row>
    <row r="31" spans="1:6">
      <c r="E31" s="325" t="s">
        <v>668</v>
      </c>
      <c r="F31" s="340">
        <f>B41</f>
        <v>8</v>
      </c>
    </row>
    <row r="33" spans="1:7" s="329" customFormat="1" ht="15.75" customHeight="1">
      <c r="A33" s="330" t="s">
        <v>669</v>
      </c>
      <c r="B33" s="331"/>
      <c r="C33" s="331"/>
      <c r="D33" s="331"/>
      <c r="E33" s="331"/>
      <c r="F33" s="331"/>
      <c r="G33" s="331"/>
    </row>
    <row r="34" spans="1:7" s="329" customFormat="1" ht="15" customHeight="1">
      <c r="A34" s="331" t="s">
        <v>670</v>
      </c>
      <c r="B34" s="332" t="s">
        <v>671</v>
      </c>
      <c r="C34" s="331" t="s">
        <v>672</v>
      </c>
      <c r="D34" s="333"/>
      <c r="E34" s="333"/>
      <c r="F34" s="333"/>
      <c r="G34" s="333"/>
    </row>
    <row r="35" spans="1:7" s="329" customFormat="1" ht="15" customHeight="1">
      <c r="A35" s="333" t="s">
        <v>673</v>
      </c>
      <c r="B35" s="334">
        <f>COUNTIF(baseline!$I$2:$I$163,"baseline")</f>
        <v>139</v>
      </c>
      <c r="C35" s="333" t="s">
        <v>674</v>
      </c>
      <c r="D35" s="333"/>
      <c r="E35" s="333"/>
      <c r="F35" s="333"/>
      <c r="G35" s="333"/>
    </row>
    <row r="36" spans="1:7" s="329" customFormat="1" ht="15" customHeight="1">
      <c r="A36" s="333" t="s">
        <v>675</v>
      </c>
      <c r="B36" s="334">
        <f>COUNTA(baseline!$D$2:$D$163)</f>
        <v>162</v>
      </c>
      <c r="C36" s="333" t="s">
        <v>676</v>
      </c>
      <c r="D36" s="333"/>
      <c r="E36" s="333"/>
      <c r="F36" s="333"/>
      <c r="G36" s="333"/>
    </row>
    <row r="37" spans="1:7" s="329" customFormat="1" ht="15" customHeight="1">
      <c r="A37" s="331" t="s">
        <v>677</v>
      </c>
      <c r="B37" s="335">
        <f>B36-B35</f>
        <v>23</v>
      </c>
      <c r="C37" s="333" t="s">
        <v>678</v>
      </c>
      <c r="D37" s="333"/>
      <c r="E37" s="333"/>
      <c r="F37" s="333"/>
      <c r="G37" s="333"/>
    </row>
    <row r="38" spans="1:7" s="329" customFormat="1" ht="15" customHeight="1">
      <c r="A38" s="331" t="s">
        <v>679</v>
      </c>
      <c r="B38" s="336">
        <f>B37/B35</f>
        <v>0.16546762589928057</v>
      </c>
      <c r="C38" s="333"/>
      <c r="D38" s="333"/>
      <c r="E38" s="333"/>
      <c r="F38" s="333"/>
      <c r="G38" s="333"/>
    </row>
    <row r="39" spans="1:7" s="329" customFormat="1" ht="15" customHeight="1">
      <c r="A39" s="333" t="s">
        <v>680</v>
      </c>
      <c r="B39" s="334">
        <f>COUNTIF(baseline!$J$2:$J$163,"added")</f>
        <v>11</v>
      </c>
      <c r="C39" s="333" t="s">
        <v>681</v>
      </c>
      <c r="D39" s="333"/>
      <c r="E39" s="333"/>
      <c r="F39" s="333"/>
      <c r="G39" s="333"/>
    </row>
    <row r="40" spans="1:7" s="329" customFormat="1" ht="15" customHeight="1">
      <c r="A40" s="333" t="s">
        <v>682</v>
      </c>
      <c r="B40" s="334">
        <f>B37-B39</f>
        <v>12</v>
      </c>
      <c r="C40" s="333" t="s">
        <v>683</v>
      </c>
      <c r="D40" s="333"/>
      <c r="E40" s="333"/>
      <c r="F40" s="333"/>
      <c r="G40" s="333"/>
    </row>
    <row r="41" spans="1:7" s="329" customFormat="1" ht="15" customHeight="1">
      <c r="A41" s="333" t="s">
        <v>684</v>
      </c>
      <c r="B41" s="334">
        <f>COUNTIF(baseline!$A$2:$A$163,"sap")</f>
        <v>8</v>
      </c>
      <c r="C41" s="333" t="s">
        <v>685</v>
      </c>
      <c r="D41" s="333"/>
      <c r="E41" s="333"/>
      <c r="F41" s="333"/>
      <c r="G41" s="333"/>
    </row>
    <row r="42" spans="1:7" s="329" customFormat="1" ht="15" customHeight="1">
      <c r="A42" s="333" t="s">
        <v>686</v>
      </c>
      <c r="B42" s="334">
        <f>COUNTIF(baseline!$J$2:$J$163,"removed")</f>
        <v>1</v>
      </c>
      <c r="C42" s="333"/>
      <c r="D42" s="333"/>
      <c r="E42" s="333"/>
      <c r="F42" s="333"/>
      <c r="G42" s="333"/>
    </row>
    <row r="43" spans="1:7" s="329" customFormat="1" ht="15" customHeight="1">
      <c r="A43" s="333" t="s">
        <v>687</v>
      </c>
      <c r="B43" s="334">
        <f>COUNTIF(baseline!$J$2:$J$163,"moved*")</f>
        <v>13</v>
      </c>
      <c r="C43" s="333" t="s">
        <v>688</v>
      </c>
      <c r="D43" s="333"/>
      <c r="E43" s="333"/>
      <c r="F43" s="333"/>
      <c r="G43" s="333"/>
    </row>
    <row r="44" spans="1:7" s="329" customFormat="1" ht="15" customHeight="1">
      <c r="A44" s="333" t="s">
        <v>689</v>
      </c>
      <c r="B44" s="332" t="str">
        <f>TEXT(MIN(baseline!$F$2:$F$163),"dd mmm yy")&amp;" – "&amp;TEXT(MAX(baseline!$G$2:$G$163),"dd mmm yy")</f>
        <v>05 Jan 26 – 25 Dec 26</v>
      </c>
      <c r="C44" s="333" t="s">
        <v>690</v>
      </c>
      <c r="D44" s="333"/>
      <c r="E44" s="333"/>
      <c r="F44" s="333"/>
      <c r="G44" s="333"/>
    </row>
    <row r="45" spans="1:7" s="329" customFormat="1" ht="15" customHeight="1">
      <c r="A45" s="333"/>
      <c r="B45" s="333"/>
      <c r="C45" s="333"/>
      <c r="D45" s="333"/>
      <c r="E45" s="333"/>
      <c r="F45" s="333"/>
      <c r="G45" s="333"/>
    </row>
    <row r="46" spans="1:7" s="329" customFormat="1" ht="15.75" customHeight="1">
      <c r="A46" s="330" t="s">
        <v>691</v>
      </c>
      <c r="B46" s="331"/>
      <c r="C46" s="331"/>
      <c r="D46" s="331"/>
      <c r="E46" s="331"/>
      <c r="F46" s="331"/>
      <c r="G46" s="331"/>
    </row>
    <row r="47" spans="1:7" s="329" customFormat="1" ht="15" customHeight="1">
      <c r="A47" s="331" t="s">
        <v>1</v>
      </c>
      <c r="B47" s="332" t="s">
        <v>692</v>
      </c>
      <c r="C47" s="332" t="s">
        <v>693</v>
      </c>
      <c r="D47" s="332" t="s">
        <v>6</v>
      </c>
      <c r="E47" s="332" t="s">
        <v>667</v>
      </c>
      <c r="F47" s="332" t="s">
        <v>694</v>
      </c>
      <c r="G47" s="332" t="s">
        <v>695</v>
      </c>
    </row>
    <row r="48" spans="1:7" s="329" customFormat="1" ht="15" customHeight="1">
      <c r="A48" s="333" t="s">
        <v>323</v>
      </c>
      <c r="B48" s="334">
        <f>COUNTIFS(baseline!$A$2:$A$163,$A48,baseline!$I$2:$I$163,"baseline")</f>
        <v>87</v>
      </c>
      <c r="C48" s="334">
        <f>COUNTIFS(baseline!$A$2:$A$163,$A48,baseline!$I$2:$I$163,"")</f>
        <v>3</v>
      </c>
      <c r="D48" s="334">
        <f>COUNTIFS(baseline!$A$2:$A$163,$A48,baseline!$J$2:$J$163,"removed")</f>
        <v>0</v>
      </c>
      <c r="E48" s="334">
        <f>COUNTIFS(baseline!$A$2:$A$163,$A48,baseline!$J$2:$J$163,"moved*")</f>
        <v>1</v>
      </c>
      <c r="F48" s="334">
        <f>COUNTIF(baseline!$A$2:$A$163,$A48)</f>
        <v>90</v>
      </c>
      <c r="G48" s="337">
        <f>F48-B48</f>
        <v>3</v>
      </c>
    </row>
    <row r="49" spans="1:7" s="329" customFormat="1" ht="15" customHeight="1">
      <c r="A49" s="333" t="s">
        <v>338</v>
      </c>
      <c r="B49" s="334">
        <f>COUNTIFS(baseline!$A$2:$A$163,$A49,baseline!$I$2:$I$163,"baseline")</f>
        <v>37</v>
      </c>
      <c r="C49" s="334">
        <f>COUNTIFS(baseline!$A$2:$A$163,$A49,baseline!$I$2:$I$163,"")</f>
        <v>19</v>
      </c>
      <c r="D49" s="334">
        <f>COUNTIFS(baseline!$A$2:$A$163,$A49,baseline!$J$2:$J$163,"removed")</f>
        <v>1</v>
      </c>
      <c r="E49" s="334">
        <f>COUNTIFS(baseline!$A$2:$A$163,$A49,baseline!$J$2:$J$163,"moved*")</f>
        <v>11</v>
      </c>
      <c r="F49" s="334">
        <f>COUNTIF(baseline!$A$2:$A$163,$A49)</f>
        <v>56</v>
      </c>
      <c r="G49" s="337">
        <f>F49-B49</f>
        <v>19</v>
      </c>
    </row>
    <row r="50" spans="1:7" s="329" customFormat="1" ht="15" customHeight="1">
      <c r="A50" s="333" t="s">
        <v>343</v>
      </c>
      <c r="B50" s="334">
        <f>COUNTIFS(baseline!$A$2:$A$163,$A50,baseline!$I$2:$I$163,"baseline")</f>
        <v>6</v>
      </c>
      <c r="C50" s="334">
        <f>COUNTIFS(baseline!$A$2:$A$163,$A50,baseline!$I$2:$I$163,"")</f>
        <v>0</v>
      </c>
      <c r="D50" s="334">
        <f>COUNTIFS(baseline!$A$2:$A$163,$A50,baseline!$J$2:$J$163,"removed")</f>
        <v>0</v>
      </c>
      <c r="E50" s="334">
        <f>COUNTIFS(baseline!$A$2:$A$163,$A50,baseline!$J$2:$J$163,"moved*")</f>
        <v>0</v>
      </c>
      <c r="F50" s="334">
        <f>COUNTIF(baseline!$A$2:$A$163,$A50)</f>
        <v>6</v>
      </c>
      <c r="G50" s="337">
        <f>F50-B50</f>
        <v>0</v>
      </c>
    </row>
    <row r="51" spans="1:7" s="329" customFormat="1" ht="15" customHeight="1">
      <c r="A51" s="333" t="s">
        <v>335</v>
      </c>
      <c r="B51" s="334">
        <f>COUNTIFS(baseline!$A$2:$A$163,$A51,baseline!$I$2:$I$163,"baseline")</f>
        <v>2</v>
      </c>
      <c r="C51" s="334">
        <f>COUNTIFS(baseline!$A$2:$A$163,$A51,baseline!$I$2:$I$163,"")</f>
        <v>0</v>
      </c>
      <c r="D51" s="334">
        <f>COUNTIFS(baseline!$A$2:$A$163,$A51,baseline!$J$2:$J$163,"removed")</f>
        <v>0</v>
      </c>
      <c r="E51" s="334">
        <f>COUNTIFS(baseline!$A$2:$A$163,$A51,baseline!$J$2:$J$163,"moved*")</f>
        <v>0</v>
      </c>
      <c r="F51" s="334">
        <f>COUNTIF(baseline!$A$2:$A$163,$A51)</f>
        <v>2</v>
      </c>
      <c r="G51" s="337">
        <f>F51-B51</f>
        <v>0</v>
      </c>
    </row>
    <row r="52" spans="1:7" s="329" customFormat="1" ht="15" customHeight="1">
      <c r="A52" s="331" t="s">
        <v>19</v>
      </c>
      <c r="B52" s="338">
        <f t="shared" ref="B52:G52" si="1">SUM(B48:B51)</f>
        <v>132</v>
      </c>
      <c r="C52" s="338">
        <f t="shared" si="1"/>
        <v>22</v>
      </c>
      <c r="D52" s="338">
        <f t="shared" si="1"/>
        <v>1</v>
      </c>
      <c r="E52" s="338">
        <f t="shared" si="1"/>
        <v>12</v>
      </c>
      <c r="F52" s="338">
        <f t="shared" si="1"/>
        <v>154</v>
      </c>
      <c r="G52" s="339">
        <f t="shared" si="1"/>
        <v>22</v>
      </c>
    </row>
    <row r="53" spans="1:7" s="329" customFormat="1" ht="15" customHeight="1">
      <c r="A53" s="333"/>
      <c r="B53" s="333"/>
      <c r="C53" s="333"/>
      <c r="D53" s="333"/>
      <c r="E53" s="333"/>
      <c r="F53" s="333"/>
      <c r="G53" s="33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1"/>
  <sheetViews>
    <sheetView showGridLines="0" zoomScaleNormal="100" workbookViewId="0"/>
  </sheetViews>
  <sheetFormatPr defaultColWidth="8.7265625" defaultRowHeight="14.5"/>
  <cols>
    <col min="1" max="1" width="43.81640625" style="195" customWidth="1"/>
    <col min="2" max="2" width="21.453125" style="195" customWidth="1"/>
    <col min="3" max="3" width="34.7265625" style="195" bestFit="1" customWidth="1"/>
    <col min="4" max="4" width="21" style="195" customWidth="1"/>
    <col min="5" max="5" width="40" style="195" customWidth="1"/>
    <col min="6" max="6" width="43.81640625" style="195" customWidth="1"/>
    <col min="7" max="7" width="81.81640625" style="195" customWidth="1"/>
    <col min="8" max="8" width="2.81640625" style="195" customWidth="1"/>
    <col min="9" max="9" width="29.81640625" style="195" customWidth="1"/>
    <col min="10" max="17" width="9.1796875" style="195" customWidth="1"/>
    <col min="18" max="20" width="17.1796875" style="195" customWidth="1"/>
    <col min="21" max="24" width="8.7265625" style="195" customWidth="1"/>
    <col min="25" max="16384" width="8.7265625" style="195"/>
  </cols>
  <sheetData>
    <row r="1" spans="1:7" ht="15" customHeight="1">
      <c r="A1" s="324" t="s">
        <v>658</v>
      </c>
    </row>
    <row r="2" spans="1:7" ht="15" customHeight="1">
      <c r="A2" s="323" t="s">
        <v>659</v>
      </c>
    </row>
    <row r="3" spans="1:7" ht="15" customHeight="1">
      <c r="A3" s="328" t="s">
        <v>696</v>
      </c>
    </row>
    <row r="4" spans="1:7" ht="15" customHeight="1">
      <c r="A4" s="310"/>
      <c r="B4" s="309"/>
      <c r="C4" s="309"/>
      <c r="D4" s="309"/>
      <c r="E4" s="309"/>
      <c r="F4" s="309"/>
      <c r="G4" s="309"/>
    </row>
    <row r="5" spans="1:7" ht="15" customHeight="1"/>
    <row r="11" spans="1:7" ht="15" customHeight="1"/>
    <row r="25" spans="1:6" ht="14.5" customHeight="1">
      <c r="A25" s="322" t="s">
        <v>661</v>
      </c>
    </row>
    <row r="26" spans="1:6" ht="14.5" customHeight="1">
      <c r="A26" s="318" t="s">
        <v>1</v>
      </c>
      <c r="B26" s="318" t="s">
        <v>2</v>
      </c>
      <c r="C26" s="318" t="s">
        <v>662</v>
      </c>
      <c r="E26" s="318" t="s">
        <v>663</v>
      </c>
      <c r="F26" s="318" t="s">
        <v>664</v>
      </c>
    </row>
    <row r="27" spans="1:6" ht="14.5" customHeight="1">
      <c r="A27" s="325" t="str">
        <f t="shared" ref="A27:B30" si="0">A47</f>
        <v>asm</v>
      </c>
      <c r="B27" s="325">
        <f t="shared" si="0"/>
        <v>87</v>
      </c>
      <c r="C27" s="325">
        <f>F47</f>
        <v>90</v>
      </c>
      <c r="E27" s="325" t="s">
        <v>665</v>
      </c>
      <c r="F27" s="325">
        <f>B39</f>
        <v>11</v>
      </c>
    </row>
    <row r="28" spans="1:6" ht="14.5" customHeight="1">
      <c r="A28" s="325" t="str">
        <f t="shared" si="0"/>
        <v>rca</v>
      </c>
      <c r="B28" s="325">
        <f t="shared" si="0"/>
        <v>37</v>
      </c>
      <c r="C28" s="325">
        <f>F48</f>
        <v>56</v>
      </c>
      <c r="E28" s="325" t="s">
        <v>666</v>
      </c>
      <c r="F28" s="325">
        <f>B40</f>
        <v>12</v>
      </c>
    </row>
    <row r="29" spans="1:6" ht="14.5" customHeight="1">
      <c r="A29" s="325" t="str">
        <f t="shared" si="0"/>
        <v>ui improvement</v>
      </c>
      <c r="B29" s="325">
        <f t="shared" si="0"/>
        <v>6</v>
      </c>
      <c r="C29" s="325">
        <f>F49</f>
        <v>6</v>
      </c>
      <c r="E29" s="325" t="s">
        <v>667</v>
      </c>
      <c r="F29" s="325">
        <f>B42</f>
        <v>13</v>
      </c>
    </row>
    <row r="30" spans="1:6" ht="14.5" customHeight="1">
      <c r="A30" s="325" t="str">
        <f t="shared" si="0"/>
        <v>handover</v>
      </c>
      <c r="B30" s="325">
        <f t="shared" si="0"/>
        <v>2</v>
      </c>
      <c r="C30" s="325">
        <f>F50</f>
        <v>2</v>
      </c>
      <c r="E30" s="325" t="s">
        <v>6</v>
      </c>
      <c r="F30" s="325">
        <f>B41</f>
        <v>1</v>
      </c>
    </row>
    <row r="33" spans="1:7" ht="15.65" customHeight="1">
      <c r="A33" s="310" t="s">
        <v>669</v>
      </c>
      <c r="B33" s="309"/>
      <c r="C33" s="309"/>
      <c r="D33" s="309"/>
      <c r="E33" s="309"/>
      <c r="F33" s="309"/>
      <c r="G33" s="309"/>
    </row>
    <row r="34" spans="1:7" ht="14.5" customHeight="1">
      <c r="A34" s="318" t="s">
        <v>670</v>
      </c>
      <c r="B34" s="317" t="s">
        <v>671</v>
      </c>
      <c r="C34" s="318" t="s">
        <v>672</v>
      </c>
    </row>
    <row r="35" spans="1:7" ht="14.5" customHeight="1">
      <c r="A35" s="316" t="s">
        <v>673</v>
      </c>
      <c r="B35" s="315">
        <f>COUNTIF(baseline!$I$2:$I$163,"baseline")</f>
        <v>139</v>
      </c>
      <c r="C35" s="316" t="s">
        <v>674</v>
      </c>
    </row>
    <row r="36" spans="1:7" ht="14.5" customHeight="1">
      <c r="A36" s="316" t="s">
        <v>675</v>
      </c>
      <c r="B36" s="315">
        <f>COUNTA(baseline!$D$2:$D$163)</f>
        <v>162</v>
      </c>
      <c r="C36" s="316" t="s">
        <v>676</v>
      </c>
    </row>
    <row r="37" spans="1:7" ht="14.5" customHeight="1">
      <c r="A37" s="320" t="s">
        <v>677</v>
      </c>
      <c r="B37" s="321">
        <f>B36-B35</f>
        <v>23</v>
      </c>
      <c r="C37" s="316" t="s">
        <v>678</v>
      </c>
    </row>
    <row r="38" spans="1:7" ht="14.5" customHeight="1">
      <c r="A38" s="320" t="s">
        <v>679</v>
      </c>
      <c r="B38" s="319">
        <f>B37/B35</f>
        <v>0.16546762589928057</v>
      </c>
      <c r="C38" s="316"/>
    </row>
    <row r="39" spans="1:7">
      <c r="A39" s="316" t="s">
        <v>680</v>
      </c>
      <c r="B39" s="315">
        <f>COUNTIF(baseline!$J$2:$J$163,"added")</f>
        <v>11</v>
      </c>
      <c r="C39" s="316" t="s">
        <v>681</v>
      </c>
    </row>
    <row r="40" spans="1:7" ht="14.5" customHeight="1">
      <c r="A40" s="316" t="s">
        <v>682</v>
      </c>
      <c r="B40" s="315">
        <f>B37-B39</f>
        <v>12</v>
      </c>
      <c r="C40" s="316" t="s">
        <v>683</v>
      </c>
    </row>
    <row r="41" spans="1:7" ht="14.5" customHeight="1">
      <c r="A41" s="316" t="s">
        <v>686</v>
      </c>
      <c r="B41" s="315">
        <f>COUNTIF(baseline!$J$2:$J$163,"removed")</f>
        <v>1</v>
      </c>
      <c r="C41" s="316"/>
    </row>
    <row r="42" spans="1:7" ht="14.5" customHeight="1">
      <c r="A42" s="316" t="s">
        <v>687</v>
      </c>
      <c r="B42" s="315">
        <f>COUNTIF(baseline!$J$2:$J$163,"moved*")</f>
        <v>13</v>
      </c>
      <c r="C42" s="316" t="s">
        <v>688</v>
      </c>
    </row>
    <row r="43" spans="1:7">
      <c r="A43" s="316" t="s">
        <v>689</v>
      </c>
      <c r="B43" s="326" t="str">
        <f>TEXT(MIN(baseline!$F$2:$F$163),"dd mmm yy")&amp;" – "&amp;TEXT(MAX(baseline!$G$2:$G$163),"dd mmm yy")</f>
        <v>05 Jan 26 – 25 Dec 26</v>
      </c>
      <c r="C43" s="316" t="s">
        <v>690</v>
      </c>
    </row>
    <row r="45" spans="1:7" ht="15.65" customHeight="1">
      <c r="A45" s="310" t="s">
        <v>691</v>
      </c>
      <c r="B45" s="309"/>
      <c r="C45" s="309"/>
      <c r="D45" s="309"/>
      <c r="E45" s="309"/>
      <c r="F45" s="309"/>
      <c r="G45" s="309"/>
    </row>
    <row r="46" spans="1:7" ht="14.5" customHeight="1">
      <c r="A46" s="318" t="s">
        <v>1</v>
      </c>
      <c r="B46" s="317" t="s">
        <v>692</v>
      </c>
      <c r="C46" s="317" t="s">
        <v>693</v>
      </c>
      <c r="D46" s="317" t="s">
        <v>6</v>
      </c>
      <c r="E46" s="317" t="s">
        <v>667</v>
      </c>
      <c r="F46" s="317" t="s">
        <v>694</v>
      </c>
      <c r="G46" s="317" t="s">
        <v>695</v>
      </c>
    </row>
    <row r="47" spans="1:7" ht="14.5" customHeight="1">
      <c r="A47" s="316" t="s">
        <v>323</v>
      </c>
      <c r="B47" s="315">
        <f>COUNTIFS(baseline!$A$2:$A$163,$A47,baseline!$I$2:$I$163,"baseline")</f>
        <v>87</v>
      </c>
      <c r="C47" s="315">
        <f>COUNTIFS(baseline!$A$2:$A$163,$A47,baseline!$I$2:$I$163,"")</f>
        <v>3</v>
      </c>
      <c r="D47" s="315">
        <f>COUNTIFS(baseline!$A$2:$A$163,$A47,baseline!$J$2:$J$163,"removed")</f>
        <v>0</v>
      </c>
      <c r="E47" s="315">
        <f>COUNTIFS(baseline!$A$2:$A$163,$A47,baseline!$J$2:$J$163,"moved*")</f>
        <v>1</v>
      </c>
      <c r="F47" s="315">
        <f>COUNTIF(baseline!$A$2:$A$163,$A47)</f>
        <v>90</v>
      </c>
      <c r="G47" s="314">
        <f>F47-B47</f>
        <v>3</v>
      </c>
    </row>
    <row r="48" spans="1:7" ht="14.5" customHeight="1">
      <c r="A48" s="316" t="s">
        <v>338</v>
      </c>
      <c r="B48" s="315">
        <f>COUNTIFS(baseline!$A$2:$A$163,$A48,baseline!$I$2:$I$163,"baseline")</f>
        <v>37</v>
      </c>
      <c r="C48" s="315">
        <f>COUNTIFS(baseline!$A$2:$A$163,$A48,baseline!$I$2:$I$163,"")</f>
        <v>19</v>
      </c>
      <c r="D48" s="315">
        <f>COUNTIFS(baseline!$A$2:$A$163,$A48,baseline!$J$2:$J$163,"removed")</f>
        <v>1</v>
      </c>
      <c r="E48" s="315">
        <f>COUNTIFS(baseline!$A$2:$A$163,$A48,baseline!$J$2:$J$163,"moved*")</f>
        <v>11</v>
      </c>
      <c r="F48" s="315">
        <f>COUNTIF(baseline!$A$2:$A$163,$A48)</f>
        <v>56</v>
      </c>
      <c r="G48" s="314">
        <f>F48-B48</f>
        <v>19</v>
      </c>
    </row>
    <row r="49" spans="1:7" ht="14.5" customHeight="1">
      <c r="A49" s="316" t="s">
        <v>343</v>
      </c>
      <c r="B49" s="315">
        <f>COUNTIFS(baseline!$A$2:$A$163,$A49,baseline!$I$2:$I$163,"baseline")</f>
        <v>6</v>
      </c>
      <c r="C49" s="315">
        <f>COUNTIFS(baseline!$A$2:$A$163,$A49,baseline!$I$2:$I$163,"")</f>
        <v>0</v>
      </c>
      <c r="D49" s="315">
        <f>COUNTIFS(baseline!$A$2:$A$163,$A49,baseline!$J$2:$J$163,"removed")</f>
        <v>0</v>
      </c>
      <c r="E49" s="315">
        <f>COUNTIFS(baseline!$A$2:$A$163,$A49,baseline!$J$2:$J$163,"moved*")</f>
        <v>0</v>
      </c>
      <c r="F49" s="315">
        <f>COUNTIF(baseline!$A$2:$A$163,$A49)</f>
        <v>6</v>
      </c>
      <c r="G49" s="314">
        <f>F49-B49</f>
        <v>0</v>
      </c>
    </row>
    <row r="50" spans="1:7" ht="14.5" customHeight="1">
      <c r="A50" s="316" t="s">
        <v>335</v>
      </c>
      <c r="B50" s="315">
        <f>COUNTIFS(baseline!$A$2:$A$163,$A50,baseline!$I$2:$I$163,"baseline")</f>
        <v>2</v>
      </c>
      <c r="C50" s="315">
        <f>COUNTIFS(baseline!$A$2:$A$163,$A50,baseline!$I$2:$I$163,"")</f>
        <v>0</v>
      </c>
      <c r="D50" s="315">
        <f>COUNTIFS(baseline!$A$2:$A$163,$A50,baseline!$J$2:$J$163,"removed")</f>
        <v>0</v>
      </c>
      <c r="E50" s="315">
        <f>COUNTIFS(baseline!$A$2:$A$163,$A50,baseline!$J$2:$J$163,"moved*")</f>
        <v>0</v>
      </c>
      <c r="F50" s="315">
        <f>COUNTIF(baseline!$A$2:$A$163,$A50)</f>
        <v>2</v>
      </c>
      <c r="G50" s="314">
        <f>F50-B50</f>
        <v>0</v>
      </c>
    </row>
    <row r="51" spans="1:7" ht="14.5" customHeight="1">
      <c r="A51" s="313" t="s">
        <v>19</v>
      </c>
      <c r="B51" s="312">
        <f t="shared" ref="B51:G51" si="1">SUM(B47:B50)</f>
        <v>132</v>
      </c>
      <c r="C51" s="312">
        <f t="shared" si="1"/>
        <v>22</v>
      </c>
      <c r="D51" s="312">
        <f t="shared" si="1"/>
        <v>1</v>
      </c>
      <c r="E51" s="312">
        <f t="shared" si="1"/>
        <v>12</v>
      </c>
      <c r="F51" s="312">
        <f t="shared" si="1"/>
        <v>154</v>
      </c>
      <c r="G51" s="311">
        <f t="shared" si="1"/>
        <v>22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I35"/>
  <sheetViews>
    <sheetView topLeftCell="B1" zoomScaleNormal="100" workbookViewId="0">
      <selection activeCell="E12" sqref="E12"/>
    </sheetView>
  </sheetViews>
  <sheetFormatPr defaultColWidth="8.7265625" defaultRowHeight="14.5"/>
  <cols>
    <col min="1" max="1" width="15.1796875" style="195" customWidth="1"/>
    <col min="2" max="2" width="33" style="195" customWidth="1"/>
    <col min="3" max="3" width="14.7265625" style="198" customWidth="1"/>
    <col min="4" max="4" width="13.26953125" style="198" customWidth="1"/>
    <col min="5" max="5" width="10.81640625" style="197" customWidth="1"/>
    <col min="6" max="6" width="12.54296875" style="197" hidden="1" customWidth="1"/>
    <col min="7" max="7" width="10.26953125" style="195" customWidth="1"/>
    <col min="8" max="8" width="9.54296875" style="195" customWidth="1"/>
    <col min="9" max="9" width="12.26953125" style="196" customWidth="1"/>
    <col min="10" max="11" width="5.26953125" style="195" customWidth="1"/>
    <col min="12" max="12" width="4.1796875" style="195" customWidth="1"/>
    <col min="13" max="13" width="5.26953125" style="195" customWidth="1"/>
    <col min="14" max="14" width="4.26953125" style="195" customWidth="1"/>
    <col min="15" max="15" width="5.26953125" style="195" customWidth="1"/>
    <col min="16" max="16" width="4.1796875" style="195" customWidth="1"/>
    <col min="17" max="17" width="5.26953125" style="195" customWidth="1"/>
    <col min="18" max="18" width="4.7265625" style="195" customWidth="1"/>
    <col min="19" max="61" width="5.26953125" style="195" customWidth="1"/>
    <col min="62" max="65" width="8.7265625" style="195" customWidth="1"/>
    <col min="66" max="16384" width="8.7265625" style="195"/>
  </cols>
  <sheetData>
    <row r="1" spans="1:61">
      <c r="A1" s="261" t="s">
        <v>152</v>
      </c>
      <c r="B1" s="265">
        <f>(F8*G8+F12*G12+F19*G19+F22*G22)/(F8+F12+F19+F22)</f>
        <v>0.68852459016393441</v>
      </c>
      <c r="C1" s="264" t="s">
        <v>203</v>
      </c>
      <c r="D1" s="267">
        <v>46027</v>
      </c>
      <c r="G1" s="266"/>
    </row>
    <row r="2" spans="1:61">
      <c r="A2" s="261" t="s">
        <v>151</v>
      </c>
      <c r="B2" s="265">
        <f>(F8*H8+F12*H12+F19*H19+F22*H22)/(F8+F12+F19+F22)</f>
        <v>0.66344262295081957</v>
      </c>
      <c r="C2" s="264" t="s">
        <v>204</v>
      </c>
      <c r="D2" s="263">
        <f>MAX(C8:D24)</f>
        <v>46381</v>
      </c>
      <c r="G2" s="262"/>
      <c r="J2" s="384" t="s">
        <v>77</v>
      </c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1"/>
    </row>
    <row r="3" spans="1:61" ht="16.5" customHeight="1">
      <c r="C3" s="261" t="s">
        <v>284</v>
      </c>
      <c r="D3" s="260">
        <f>D2</f>
        <v>46381</v>
      </c>
      <c r="J3" s="385" t="s">
        <v>79</v>
      </c>
      <c r="K3" s="380"/>
      <c r="L3" s="380"/>
      <c r="M3" s="381"/>
      <c r="N3" s="385" t="s">
        <v>80</v>
      </c>
      <c r="O3" s="380"/>
      <c r="P3" s="380"/>
      <c r="Q3" s="381"/>
      <c r="R3" s="385" t="s">
        <v>81</v>
      </c>
      <c r="S3" s="380"/>
      <c r="T3" s="380"/>
      <c r="U3" s="380"/>
      <c r="V3" s="381"/>
      <c r="W3" s="385" t="s">
        <v>82</v>
      </c>
      <c r="X3" s="380"/>
      <c r="Y3" s="380"/>
      <c r="Z3" s="381"/>
      <c r="AA3" s="385" t="s">
        <v>83</v>
      </c>
      <c r="AB3" s="380"/>
      <c r="AC3" s="380"/>
      <c r="AD3" s="381"/>
      <c r="AE3" s="385" t="s">
        <v>84</v>
      </c>
      <c r="AF3" s="380"/>
      <c r="AG3" s="380"/>
      <c r="AH3" s="380"/>
      <c r="AI3" s="381"/>
      <c r="AJ3" s="385" t="s">
        <v>85</v>
      </c>
      <c r="AK3" s="380"/>
      <c r="AL3" s="380"/>
      <c r="AM3" s="381"/>
      <c r="AN3" s="385" t="s">
        <v>86</v>
      </c>
      <c r="AO3" s="380"/>
      <c r="AP3" s="380"/>
      <c r="AQ3" s="380"/>
      <c r="AR3" s="381"/>
      <c r="AS3" s="385" t="s">
        <v>87</v>
      </c>
      <c r="AT3" s="380"/>
      <c r="AU3" s="380"/>
      <c r="AV3" s="381"/>
      <c r="AW3" s="385" t="s">
        <v>88</v>
      </c>
      <c r="AX3" s="380"/>
      <c r="AY3" s="380"/>
      <c r="AZ3" s="381"/>
      <c r="BA3" s="385" t="s">
        <v>89</v>
      </c>
      <c r="BB3" s="380"/>
      <c r="BC3" s="380"/>
      <c r="BD3" s="380"/>
      <c r="BE3" s="381"/>
      <c r="BF3" s="385" t="s">
        <v>90</v>
      </c>
      <c r="BG3" s="380"/>
      <c r="BH3" s="380"/>
      <c r="BI3" s="381"/>
    </row>
    <row r="4" spans="1:61" s="255" customFormat="1">
      <c r="C4" s="256"/>
      <c r="E4" s="259"/>
      <c r="F4" s="259"/>
      <c r="I4" s="258"/>
      <c r="J4" s="257">
        <f>D1</f>
        <v>46027</v>
      </c>
      <c r="K4" s="257">
        <f t="shared" ref="K4:AP4" si="0">J4+7</f>
        <v>46034</v>
      </c>
      <c r="L4" s="257">
        <f t="shared" si="0"/>
        <v>46041</v>
      </c>
      <c r="M4" s="257">
        <f t="shared" si="0"/>
        <v>46048</v>
      </c>
      <c r="N4" s="257">
        <f t="shared" si="0"/>
        <v>46055</v>
      </c>
      <c r="O4" s="257">
        <f t="shared" si="0"/>
        <v>46062</v>
      </c>
      <c r="P4" s="257">
        <f t="shared" si="0"/>
        <v>46069</v>
      </c>
      <c r="Q4" s="257">
        <f t="shared" si="0"/>
        <v>46076</v>
      </c>
      <c r="R4" s="257">
        <f t="shared" si="0"/>
        <v>46083</v>
      </c>
      <c r="S4" s="257">
        <f t="shared" si="0"/>
        <v>46090</v>
      </c>
      <c r="T4" s="257">
        <f t="shared" si="0"/>
        <v>46097</v>
      </c>
      <c r="U4" s="257">
        <f t="shared" si="0"/>
        <v>46104</v>
      </c>
      <c r="V4" s="257">
        <f t="shared" si="0"/>
        <v>46111</v>
      </c>
      <c r="W4" s="257">
        <f t="shared" si="0"/>
        <v>46118</v>
      </c>
      <c r="X4" s="257">
        <f t="shared" si="0"/>
        <v>46125</v>
      </c>
      <c r="Y4" s="257">
        <f t="shared" si="0"/>
        <v>46132</v>
      </c>
      <c r="Z4" s="257">
        <f t="shared" si="0"/>
        <v>46139</v>
      </c>
      <c r="AA4" s="257">
        <f t="shared" si="0"/>
        <v>46146</v>
      </c>
      <c r="AB4" s="257">
        <f t="shared" si="0"/>
        <v>46153</v>
      </c>
      <c r="AC4" s="257">
        <f t="shared" si="0"/>
        <v>46160</v>
      </c>
      <c r="AD4" s="257">
        <f t="shared" si="0"/>
        <v>46167</v>
      </c>
      <c r="AE4" s="257">
        <f t="shared" si="0"/>
        <v>46174</v>
      </c>
      <c r="AF4" s="257">
        <f t="shared" si="0"/>
        <v>46181</v>
      </c>
      <c r="AG4" s="257">
        <f t="shared" si="0"/>
        <v>46188</v>
      </c>
      <c r="AH4" s="257">
        <f t="shared" si="0"/>
        <v>46195</v>
      </c>
      <c r="AI4" s="257">
        <f t="shared" si="0"/>
        <v>46202</v>
      </c>
      <c r="AJ4" s="257">
        <f t="shared" si="0"/>
        <v>46209</v>
      </c>
      <c r="AK4" s="257">
        <f t="shared" si="0"/>
        <v>46216</v>
      </c>
      <c r="AL4" s="257">
        <f t="shared" si="0"/>
        <v>46223</v>
      </c>
      <c r="AM4" s="257">
        <f t="shared" si="0"/>
        <v>46230</v>
      </c>
      <c r="AN4" s="257">
        <f t="shared" si="0"/>
        <v>46237</v>
      </c>
      <c r="AO4" s="257">
        <f t="shared" si="0"/>
        <v>46244</v>
      </c>
      <c r="AP4" s="257">
        <f t="shared" si="0"/>
        <v>46251</v>
      </c>
      <c r="AQ4" s="257">
        <f t="shared" ref="AQ4:BI4" si="1">AP4+7</f>
        <v>46258</v>
      </c>
      <c r="AR4" s="257">
        <f t="shared" si="1"/>
        <v>46265</v>
      </c>
      <c r="AS4" s="257">
        <f t="shared" si="1"/>
        <v>46272</v>
      </c>
      <c r="AT4" s="257">
        <f t="shared" si="1"/>
        <v>46279</v>
      </c>
      <c r="AU4" s="257">
        <f t="shared" si="1"/>
        <v>46286</v>
      </c>
      <c r="AV4" s="257">
        <f t="shared" si="1"/>
        <v>46293</v>
      </c>
      <c r="AW4" s="257">
        <f t="shared" si="1"/>
        <v>46300</v>
      </c>
      <c r="AX4" s="257">
        <f t="shared" si="1"/>
        <v>46307</v>
      </c>
      <c r="AY4" s="257">
        <f t="shared" si="1"/>
        <v>46314</v>
      </c>
      <c r="AZ4" s="257">
        <f t="shared" si="1"/>
        <v>46321</v>
      </c>
      <c r="BA4" s="257">
        <f t="shared" si="1"/>
        <v>46328</v>
      </c>
      <c r="BB4" s="257">
        <f t="shared" si="1"/>
        <v>46335</v>
      </c>
      <c r="BC4" s="257">
        <f t="shared" si="1"/>
        <v>46342</v>
      </c>
      <c r="BD4" s="257">
        <f t="shared" si="1"/>
        <v>46349</v>
      </c>
      <c r="BE4" s="257">
        <f t="shared" si="1"/>
        <v>46356</v>
      </c>
      <c r="BF4" s="257">
        <f t="shared" si="1"/>
        <v>46363</v>
      </c>
      <c r="BG4" s="257">
        <f t="shared" si="1"/>
        <v>46370</v>
      </c>
      <c r="BH4" s="257">
        <f t="shared" si="1"/>
        <v>46377</v>
      </c>
      <c r="BI4" s="257">
        <f t="shared" si="1"/>
        <v>46384</v>
      </c>
    </row>
    <row r="5" spans="1:61">
      <c r="C5" s="256"/>
      <c r="D5" s="255"/>
      <c r="J5" s="254" t="s">
        <v>205</v>
      </c>
      <c r="K5" s="254" t="s">
        <v>206</v>
      </c>
      <c r="L5" s="254" t="s">
        <v>207</v>
      </c>
      <c r="M5" s="254" t="s">
        <v>208</v>
      </c>
      <c r="N5" s="254" t="s">
        <v>209</v>
      </c>
      <c r="O5" s="254" t="s">
        <v>210</v>
      </c>
      <c r="P5" s="254" t="s">
        <v>211</v>
      </c>
      <c r="Q5" s="254" t="s">
        <v>212</v>
      </c>
      <c r="R5" s="254" t="s">
        <v>213</v>
      </c>
      <c r="S5" s="254" t="s">
        <v>214</v>
      </c>
      <c r="T5" s="254" t="s">
        <v>215</v>
      </c>
      <c r="U5" s="254" t="s">
        <v>216</v>
      </c>
      <c r="V5" s="254" t="s">
        <v>217</v>
      </c>
      <c r="W5" s="254" t="s">
        <v>218</v>
      </c>
      <c r="X5" s="254" t="s">
        <v>219</v>
      </c>
      <c r="Y5" s="254" t="s">
        <v>220</v>
      </c>
      <c r="Z5" s="254" t="s">
        <v>221</v>
      </c>
      <c r="AA5" s="254" t="s">
        <v>222</v>
      </c>
      <c r="AB5" s="254" t="s">
        <v>223</v>
      </c>
      <c r="AC5" s="254" t="s">
        <v>224</v>
      </c>
      <c r="AD5" s="254" t="s">
        <v>225</v>
      </c>
      <c r="AE5" s="254" t="s">
        <v>226</v>
      </c>
      <c r="AF5" s="254" t="s">
        <v>227</v>
      </c>
      <c r="AG5" s="254" t="s">
        <v>228</v>
      </c>
      <c r="AH5" s="254" t="s">
        <v>229</v>
      </c>
      <c r="AI5" s="254" t="s">
        <v>230</v>
      </c>
      <c r="AJ5" s="254" t="s">
        <v>231</v>
      </c>
      <c r="AK5" s="254" t="s">
        <v>232</v>
      </c>
      <c r="AL5" s="254" t="s">
        <v>233</v>
      </c>
      <c r="AM5" s="254" t="s">
        <v>234</v>
      </c>
      <c r="AN5" s="254" t="s">
        <v>235</v>
      </c>
      <c r="AO5" s="254" t="s">
        <v>236</v>
      </c>
      <c r="AP5" s="254" t="s">
        <v>237</v>
      </c>
      <c r="AQ5" s="254" t="s">
        <v>238</v>
      </c>
      <c r="AR5" s="254" t="s">
        <v>239</v>
      </c>
      <c r="AS5" s="254" t="s">
        <v>240</v>
      </c>
      <c r="AT5" s="254" t="s">
        <v>241</v>
      </c>
      <c r="AU5" s="254" t="s">
        <v>242</v>
      </c>
      <c r="AV5" s="254" t="s">
        <v>243</v>
      </c>
      <c r="AW5" s="254" t="s">
        <v>244</v>
      </c>
      <c r="AX5" s="254" t="s">
        <v>245</v>
      </c>
      <c r="AY5" s="254" t="s">
        <v>246</v>
      </c>
      <c r="AZ5" s="254" t="s">
        <v>247</v>
      </c>
      <c r="BA5" s="254" t="s">
        <v>248</v>
      </c>
      <c r="BB5" s="254" t="s">
        <v>249</v>
      </c>
      <c r="BC5" s="254" t="s">
        <v>250</v>
      </c>
      <c r="BD5" s="254" t="s">
        <v>251</v>
      </c>
      <c r="BE5" s="254" t="s">
        <v>252</v>
      </c>
      <c r="BF5" s="254" t="s">
        <v>253</v>
      </c>
      <c r="BG5" s="254" t="s">
        <v>254</v>
      </c>
      <c r="BH5" s="254" t="s">
        <v>255</v>
      </c>
      <c r="BI5" s="254" t="s">
        <v>256</v>
      </c>
    </row>
    <row r="6" spans="1:61">
      <c r="J6" s="253" t="s">
        <v>172</v>
      </c>
      <c r="K6" s="384" t="s">
        <v>173</v>
      </c>
      <c r="L6" s="381"/>
      <c r="M6" s="384" t="s">
        <v>174</v>
      </c>
      <c r="N6" s="381"/>
      <c r="O6" s="384" t="s">
        <v>175</v>
      </c>
      <c r="P6" s="381"/>
      <c r="Q6" s="384" t="s">
        <v>176</v>
      </c>
      <c r="R6" s="381"/>
      <c r="S6" s="384" t="s">
        <v>177</v>
      </c>
      <c r="T6" s="381"/>
      <c r="U6" s="384" t="s">
        <v>178</v>
      </c>
      <c r="V6" s="381"/>
      <c r="W6" s="384" t="s">
        <v>179</v>
      </c>
      <c r="X6" s="381"/>
      <c r="Y6" s="384" t="s">
        <v>180</v>
      </c>
      <c r="Z6" s="381"/>
      <c r="AA6" s="384" t="s">
        <v>181</v>
      </c>
      <c r="AB6" s="381"/>
      <c r="AC6" s="384" t="s">
        <v>182</v>
      </c>
      <c r="AD6" s="381"/>
      <c r="AE6" s="384" t="s">
        <v>183</v>
      </c>
      <c r="AF6" s="381"/>
      <c r="AG6" s="384" t="s">
        <v>184</v>
      </c>
      <c r="AH6" s="381"/>
      <c r="AI6" s="384" t="s">
        <v>185</v>
      </c>
      <c r="AJ6" s="381"/>
      <c r="AK6" s="384" t="s">
        <v>186</v>
      </c>
      <c r="AL6" s="381"/>
      <c r="AM6" s="384" t="s">
        <v>187</v>
      </c>
      <c r="AN6" s="381"/>
      <c r="AO6" s="384" t="s">
        <v>188</v>
      </c>
      <c r="AP6" s="381"/>
      <c r="AQ6" s="384" t="s">
        <v>189</v>
      </c>
      <c r="AR6" s="381"/>
      <c r="AS6" s="384" t="s">
        <v>190</v>
      </c>
      <c r="AT6" s="381"/>
      <c r="AU6" s="384" t="s">
        <v>191</v>
      </c>
      <c r="AV6" s="381"/>
      <c r="AW6" s="384" t="s">
        <v>192</v>
      </c>
      <c r="AX6" s="381"/>
      <c r="AY6" s="384" t="s">
        <v>193</v>
      </c>
      <c r="AZ6" s="381"/>
      <c r="BA6" s="384" t="s">
        <v>194</v>
      </c>
      <c r="BB6" s="381"/>
      <c r="BC6" s="384" t="s">
        <v>195</v>
      </c>
      <c r="BD6" s="381"/>
      <c r="BE6" s="384" t="s">
        <v>196</v>
      </c>
      <c r="BF6" s="381"/>
      <c r="BG6" s="384" t="s">
        <v>197</v>
      </c>
      <c r="BH6" s="381"/>
      <c r="BI6" s="252" t="s">
        <v>260</v>
      </c>
    </row>
    <row r="7" spans="1:61">
      <c r="A7" s="251" t="s">
        <v>1</v>
      </c>
      <c r="B7" s="251" t="s">
        <v>257</v>
      </c>
      <c r="C7" s="251" t="s">
        <v>155</v>
      </c>
      <c r="D7" s="251" t="s">
        <v>156</v>
      </c>
      <c r="E7" s="251" t="s">
        <v>15</v>
      </c>
      <c r="F7" s="251" t="s">
        <v>258</v>
      </c>
      <c r="G7" s="251" t="s">
        <v>158</v>
      </c>
      <c r="H7" s="251" t="s">
        <v>159</v>
      </c>
      <c r="I7" s="250" t="s">
        <v>259</v>
      </c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</row>
    <row r="8" spans="1:61">
      <c r="A8" s="229" t="s">
        <v>286</v>
      </c>
      <c r="B8" s="248" t="s">
        <v>287</v>
      </c>
      <c r="C8" s="227">
        <f>MIN(C9:D11)</f>
        <v>46027</v>
      </c>
      <c r="D8" s="227">
        <f>MAX(C9:D11)</f>
        <v>46157</v>
      </c>
      <c r="E8" s="226"/>
      <c r="F8" s="226">
        <f>SUM(F9:F11)</f>
        <v>97</v>
      </c>
      <c r="G8" s="225">
        <f>SUMPRODUCT(F9:F11,G9:G11)/SUM(F9:F11)</f>
        <v>1</v>
      </c>
      <c r="H8" s="247">
        <f>SUMPRODUCT(F9:F11,H9:H11)/SUM(F9:F11)</f>
        <v>1</v>
      </c>
      <c r="I8" s="223"/>
      <c r="J8" s="235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  <c r="BH8" s="213"/>
      <c r="BI8" s="213"/>
    </row>
    <row r="9" spans="1:61">
      <c r="A9" s="213"/>
      <c r="B9" s="246" t="s">
        <v>288</v>
      </c>
      <c r="C9" s="245">
        <v>46027</v>
      </c>
      <c r="D9" s="245">
        <v>46045</v>
      </c>
      <c r="E9" s="244" t="s">
        <v>262</v>
      </c>
      <c r="F9" s="236">
        <v>15</v>
      </c>
      <c r="G9" s="216">
        <v>1</v>
      </c>
      <c r="H9" s="216">
        <f>IFERROR(COUNTIFS(baseline!B:B,B9,baseline!H:H,1)/COUNTIF(baseline!B:B,B9),0)</f>
        <v>1</v>
      </c>
      <c r="I9" s="215" t="str">
        <f t="array" ref="I9">_xlfn.IFS(AND(G9=1, H9=1), "completed", AND(G9=0, H9=0), "not start yet", TRUE(), "in progress")</f>
        <v>completed</v>
      </c>
      <c r="J9" s="235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  <c r="AL9" s="213"/>
      <c r="AM9" s="213"/>
      <c r="AN9" s="213"/>
      <c r="AO9" s="213"/>
      <c r="AP9" s="213"/>
      <c r="AQ9" s="213"/>
      <c r="AR9" s="213"/>
      <c r="AS9" s="213"/>
      <c r="AT9" s="213"/>
      <c r="AU9" s="213"/>
      <c r="AV9" s="213"/>
      <c r="AW9" s="213"/>
      <c r="AX9" s="213"/>
      <c r="AY9" s="213"/>
      <c r="AZ9" s="213"/>
      <c r="BA9" s="213"/>
      <c r="BB9" s="213"/>
      <c r="BC9" s="213"/>
      <c r="BD9" s="213"/>
      <c r="BE9" s="213"/>
      <c r="BF9" s="213"/>
      <c r="BG9" s="213"/>
      <c r="BH9" s="213"/>
      <c r="BI9" s="213"/>
    </row>
    <row r="10" spans="1:61">
      <c r="A10" s="213"/>
      <c r="B10" s="246" t="s">
        <v>163</v>
      </c>
      <c r="C10" s="245">
        <v>46048</v>
      </c>
      <c r="D10" s="245">
        <v>46157</v>
      </c>
      <c r="E10" s="244" t="s">
        <v>289</v>
      </c>
      <c r="F10" s="236">
        <v>73</v>
      </c>
      <c r="G10" s="216">
        <v>1</v>
      </c>
      <c r="H10" s="216">
        <f>IFERROR(COUNTIFS(baseline!B:B,B10,baseline!H:H,1)/COUNTIF(baseline!B:B,B10),0)</f>
        <v>1</v>
      </c>
      <c r="I10" s="215" t="str">
        <f t="array" ref="I10">_xlfn.IFS(AND(G10=1, H10=1), "completed", AND(G10=0, H10=0), "not start yet", TRUE(), "in progress")</f>
        <v>completed</v>
      </c>
      <c r="J10" s="235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</row>
    <row r="11" spans="1:61">
      <c r="A11" s="213"/>
      <c r="B11" s="246" t="s">
        <v>166</v>
      </c>
      <c r="C11" s="245">
        <v>46076</v>
      </c>
      <c r="D11" s="245">
        <v>46087</v>
      </c>
      <c r="E11" s="244">
        <v>22</v>
      </c>
      <c r="F11" s="236">
        <v>9</v>
      </c>
      <c r="G11" s="216">
        <v>1</v>
      </c>
      <c r="H11" s="216">
        <f>IFERROR(COUNTIFS(baseline!B:B,B11,baseline!H:H,1)/COUNTIF(baseline!B:B,B11),0)</f>
        <v>1</v>
      </c>
      <c r="I11" s="215" t="str">
        <f t="array" ref="I11">_xlfn.IFS(AND(G11=1, H11=1), "completed", AND(G11=0, H11=0), "not start yet", TRUE(), "in progress")</f>
        <v>completed</v>
      </c>
      <c r="J11" s="235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</row>
    <row r="12" spans="1:61">
      <c r="A12" s="229" t="s">
        <v>167</v>
      </c>
      <c r="B12" s="228"/>
      <c r="C12" s="227">
        <f>MIN(C13:D18)</f>
        <v>46146</v>
      </c>
      <c r="D12" s="227">
        <f>MAX(C13:D18)</f>
        <v>46269</v>
      </c>
      <c r="E12" s="226"/>
      <c r="F12" s="226">
        <f>SUM(F13:F18)</f>
        <v>131</v>
      </c>
      <c r="G12" s="225">
        <f>SUMPRODUCT(F13:F18,G13:G18)/SUM(F13:F18)</f>
        <v>0.86259541984732824</v>
      </c>
      <c r="H12" s="224">
        <f>SUMPRODUCT(F13:F18,H13:H18)/SUM(F13:F18)</f>
        <v>0.80419847328244265</v>
      </c>
      <c r="I12" s="223"/>
      <c r="J12" s="235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</row>
    <row r="13" spans="1:61">
      <c r="A13" s="213"/>
      <c r="B13" s="220" t="s">
        <v>290</v>
      </c>
      <c r="C13" s="245">
        <v>46146</v>
      </c>
      <c r="D13" s="245">
        <v>46213</v>
      </c>
      <c r="E13" s="244" t="s">
        <v>291</v>
      </c>
      <c r="F13" s="236">
        <v>47</v>
      </c>
      <c r="G13" s="216">
        <v>1</v>
      </c>
      <c r="H13" s="216">
        <f>IFERROR(COUNTIFS(baseline!B:B,B13,baseline!H:H,1)/COUNTIF(baseline!B:B,B13),0)</f>
        <v>1</v>
      </c>
      <c r="I13" s="215" t="str">
        <f t="array" ref="I13">_xlfn.IFS(AND(G13=1, H13=1), "completed", AND(G13=0, H13=0), "not start yet", TRUE(), "in progress")</f>
        <v>completed</v>
      </c>
      <c r="J13" s="235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3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</row>
    <row r="14" spans="1:61">
      <c r="A14" s="213"/>
      <c r="B14" s="220" t="s">
        <v>292</v>
      </c>
      <c r="C14" s="245">
        <v>46202</v>
      </c>
      <c r="D14" s="245">
        <v>46227</v>
      </c>
      <c r="E14" s="244" t="s">
        <v>293</v>
      </c>
      <c r="F14" s="236">
        <v>20</v>
      </c>
      <c r="G14" s="216">
        <v>1</v>
      </c>
      <c r="H14" s="216">
        <f>IFERROR(COUNTIFS(baseline!B:B,B14,baseline!H:H,1)/COUNTIF(baseline!B:B,B14),0)</f>
        <v>1</v>
      </c>
      <c r="I14" s="215" t="str">
        <f t="array" ref="I14">_xlfn.IFS(AND(G14=1, H14=1), "completed", AND(G14=0, H14=0), "not start yet", TRUE(), "in progress")</f>
        <v>completed</v>
      </c>
      <c r="J14" s="235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213"/>
      <c r="BB14" s="213"/>
      <c r="BC14" s="213"/>
      <c r="BD14" s="213"/>
      <c r="BE14" s="213"/>
      <c r="BF14" s="213"/>
      <c r="BG14" s="213"/>
      <c r="BH14" s="213"/>
      <c r="BI14" s="213"/>
    </row>
    <row r="15" spans="1:61">
      <c r="A15" s="213"/>
      <c r="B15" s="220" t="s">
        <v>294</v>
      </c>
      <c r="C15" s="245">
        <v>46216</v>
      </c>
      <c r="D15" s="245">
        <v>46241</v>
      </c>
      <c r="E15" s="244" t="s">
        <v>295</v>
      </c>
      <c r="F15" s="236">
        <v>18</v>
      </c>
      <c r="G15" s="216">
        <v>1</v>
      </c>
      <c r="H15" s="216">
        <f>IFERROR(COUNTIFS(baseline!B:B,B15,baseline!H:H,1)/COUNTIF(baseline!B:B,B15),0)</f>
        <v>1</v>
      </c>
      <c r="I15" s="215" t="str">
        <f t="array" ref="I15">_xlfn.IFS(AND(G15=1, H15=1), "completed", AND(G15=0, H15=0), "not start yet", TRUE(), "in progress")</f>
        <v>completed</v>
      </c>
      <c r="J15" s="235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  <c r="Z15" s="213"/>
      <c r="AA15" s="213"/>
      <c r="AB15" s="213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3"/>
      <c r="AR15" s="213"/>
      <c r="AS15" s="213"/>
      <c r="AT15" s="213"/>
      <c r="AU15" s="213"/>
      <c r="AV15" s="213"/>
      <c r="AW15" s="213"/>
      <c r="AX15" s="213"/>
      <c r="AY15" s="213"/>
      <c r="AZ15" s="213"/>
      <c r="BA15" s="213"/>
      <c r="BB15" s="213"/>
      <c r="BC15" s="213"/>
      <c r="BD15" s="213"/>
      <c r="BE15" s="213"/>
      <c r="BF15" s="213"/>
      <c r="BG15" s="213"/>
      <c r="BH15" s="213"/>
      <c r="BI15" s="213"/>
    </row>
    <row r="16" spans="1:61" ht="15" customHeight="1">
      <c r="A16" s="213"/>
      <c r="B16" s="246" t="s">
        <v>296</v>
      </c>
      <c r="C16" s="245">
        <v>46230</v>
      </c>
      <c r="D16" s="245">
        <v>46255</v>
      </c>
      <c r="E16" s="244" t="s">
        <v>297</v>
      </c>
      <c r="F16" s="236">
        <v>17</v>
      </c>
      <c r="G16" s="216">
        <v>1</v>
      </c>
      <c r="H16" s="216">
        <f>IFERROR(COUNTIFS(baseline!B:B,B16,baseline!H:H,1)/COUNTIF(baseline!B:B,B16),0)</f>
        <v>0.75</v>
      </c>
      <c r="I16" s="215" t="str">
        <f t="array" ref="I16">_xlfn.IFS(AND(G16=1, H16=1), "completed", AND(G16=0, H16=0), "not start yet", TRUE(), "in progress")</f>
        <v>in progress</v>
      </c>
      <c r="J16" s="235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213"/>
      <c r="BB16" s="213"/>
      <c r="BC16" s="213"/>
      <c r="BD16" s="213"/>
      <c r="BE16" s="213"/>
      <c r="BF16" s="213"/>
      <c r="BG16" s="213"/>
      <c r="BH16" s="213"/>
      <c r="BI16" s="213"/>
    </row>
    <row r="17" spans="1:61" ht="15" customHeight="1">
      <c r="A17" s="213"/>
      <c r="B17" s="220" t="s">
        <v>298</v>
      </c>
      <c r="C17" s="245">
        <v>46244</v>
      </c>
      <c r="D17" s="245">
        <v>46269</v>
      </c>
      <c r="E17" s="244" t="s">
        <v>299</v>
      </c>
      <c r="F17" s="236">
        <v>19</v>
      </c>
      <c r="G17" s="216">
        <v>0.52631578947368418</v>
      </c>
      <c r="H17" s="216">
        <f>IFERROR(COUNTIFS(baseline!B:B,B17,baseline!H:H,1)/COUNTIF(baseline!B:B,B17),0)</f>
        <v>0.4</v>
      </c>
      <c r="I17" s="215" t="str">
        <f t="array" ref="I17">_xlfn.IFS(AND(G17=1, H17=1), "completed", AND(G17=0, H17=0), "not start yet", TRUE(), "in progress")</f>
        <v>in progress</v>
      </c>
      <c r="J17" s="235"/>
      <c r="K17" s="213"/>
      <c r="L17" s="21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243"/>
      <c r="AG17" s="243"/>
      <c r="AH17" s="243"/>
      <c r="AI17" s="243"/>
      <c r="AJ17" s="243"/>
      <c r="AK17" s="243"/>
      <c r="AL17" s="243"/>
      <c r="AM17" s="243"/>
      <c r="AN17" s="243"/>
      <c r="AO17" s="243"/>
      <c r="AP17" s="243"/>
      <c r="AQ17" s="243"/>
      <c r="AR17" s="243"/>
      <c r="AS17" s="243"/>
      <c r="AT17" s="243"/>
      <c r="AU17" s="243"/>
      <c r="AV17" s="243"/>
      <c r="AW17" s="243"/>
      <c r="AX17" s="243"/>
      <c r="AY17" s="243"/>
      <c r="AZ17" s="243"/>
      <c r="BA17" s="243"/>
      <c r="BB17" s="243"/>
      <c r="BC17" s="243"/>
      <c r="BD17" s="243"/>
      <c r="BE17" s="243"/>
      <c r="BF17" s="243"/>
      <c r="BG17" s="243"/>
      <c r="BH17" s="243"/>
      <c r="BI17" s="243"/>
    </row>
    <row r="18" spans="1:61" ht="15" customHeight="1">
      <c r="A18" s="243"/>
      <c r="B18" s="242" t="s">
        <v>300</v>
      </c>
      <c r="C18" s="219">
        <v>46258</v>
      </c>
      <c r="D18" s="219">
        <v>46269</v>
      </c>
      <c r="E18" s="218">
        <v>35</v>
      </c>
      <c r="F18" s="217">
        <v>10</v>
      </c>
      <c r="G18" s="241">
        <v>0.1</v>
      </c>
      <c r="H18" s="241">
        <f>IFERROR(COUNTIFS(baseline!B:B,B18,baseline!H:H,1)/COUNTIF(baseline!B:B,B18),0)</f>
        <v>0</v>
      </c>
      <c r="I18" s="215" t="str">
        <f t="array" ref="I18">_xlfn.IFS(AND(G18=1, H18=1), "completed", AND(G18=0, H18=0), "not start yet", TRUE(), "in progress")</f>
        <v>in progress</v>
      </c>
      <c r="J18" s="235"/>
      <c r="K18" s="235"/>
      <c r="L18" s="235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3"/>
      <c r="AH18" s="234"/>
      <c r="AI18" s="212"/>
      <c r="AJ18" s="212"/>
      <c r="AK18" s="212"/>
      <c r="AL18" s="212"/>
      <c r="AM18" s="212"/>
      <c r="AN18" s="212"/>
      <c r="AO18" s="212"/>
      <c r="AP18" s="212"/>
      <c r="AQ18" s="212"/>
      <c r="AR18" s="212"/>
      <c r="AS18" s="212"/>
      <c r="AT18" s="212"/>
      <c r="AU18" s="212"/>
      <c r="AV18" s="212"/>
      <c r="AW18" s="212"/>
      <c r="AX18" s="212"/>
      <c r="AY18" s="212"/>
      <c r="AZ18" s="212"/>
      <c r="BA18" s="212"/>
      <c r="BB18" s="212"/>
      <c r="BC18" s="212"/>
      <c r="BD18" s="212"/>
      <c r="BE18" s="212"/>
      <c r="BF18" s="212"/>
      <c r="BG18" s="212"/>
      <c r="BH18" s="212"/>
      <c r="BI18" s="212"/>
    </row>
    <row r="19" spans="1:61" ht="15" customHeight="1">
      <c r="A19" s="229" t="s">
        <v>10</v>
      </c>
      <c r="B19" s="240"/>
      <c r="C19" s="239">
        <f>MIN(C20:D21)</f>
        <v>46272</v>
      </c>
      <c r="D19" s="227">
        <f>MAX(C20:D21)</f>
        <v>46353</v>
      </c>
      <c r="E19" s="238"/>
      <c r="F19" s="226">
        <f>SUM(F20:F21)</f>
        <v>58</v>
      </c>
      <c r="G19" s="225">
        <f>SUMPRODUCT(F20:F21,G20:G21)/SUM(F20:F21)</f>
        <v>0</v>
      </c>
      <c r="H19" s="224">
        <f>SUMPRODUCT(F20:F21,H20:H21)/SUM(F20:F21)</f>
        <v>0</v>
      </c>
      <c r="I19" s="237"/>
      <c r="J19" s="235"/>
      <c r="K19" s="235"/>
      <c r="L19" s="235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  <c r="Z19" s="213"/>
      <c r="AA19" s="213"/>
      <c r="AB19" s="213"/>
      <c r="AC19" s="213"/>
      <c r="AD19" s="213"/>
      <c r="AE19" s="213"/>
      <c r="AF19" s="213"/>
      <c r="AG19" s="213"/>
      <c r="AH19" s="234"/>
      <c r="AI19" s="212"/>
      <c r="AJ19" s="212"/>
      <c r="AK19" s="212"/>
      <c r="AL19" s="212"/>
      <c r="AM19" s="212"/>
      <c r="AN19" s="212"/>
      <c r="AO19" s="212"/>
      <c r="AP19" s="212"/>
      <c r="AQ19" s="212"/>
      <c r="AR19" s="212"/>
      <c r="AS19" s="212"/>
      <c r="AT19" s="212"/>
      <c r="AU19" s="212"/>
      <c r="AV19" s="212"/>
      <c r="AW19" s="212"/>
      <c r="AX19" s="212"/>
      <c r="AY19" s="212"/>
      <c r="AZ19" s="212"/>
      <c r="BA19" s="212"/>
      <c r="BB19" s="212"/>
      <c r="BC19" s="212"/>
      <c r="BD19" s="212"/>
      <c r="BE19" s="212"/>
      <c r="BF19" s="212"/>
      <c r="BG19" s="212"/>
      <c r="BH19" s="212"/>
      <c r="BI19" s="212"/>
    </row>
    <row r="20" spans="1:61" ht="15" customHeight="1">
      <c r="A20" s="221"/>
      <c r="B20" s="233" t="s">
        <v>301</v>
      </c>
      <c r="C20" s="232">
        <v>46272</v>
      </c>
      <c r="D20" s="232">
        <v>46297</v>
      </c>
      <c r="E20" s="218" t="s">
        <v>302</v>
      </c>
      <c r="F20" s="236">
        <v>20</v>
      </c>
      <c r="G20" s="216">
        <v>0</v>
      </c>
      <c r="H20" s="216">
        <f>IFERROR(COUNTIFS(baseline!B:B,B20,baseline!H:H,1)/COUNTIF(baseline!B:B,B20),0)</f>
        <v>0</v>
      </c>
      <c r="I20" s="215" t="str">
        <f t="array" ref="I20">_xlfn.IFS(AND(G20=1, H20=1), "completed", AND(G20=0, H20=0), "not start yet", TRUE(), "in progress")</f>
        <v>not start yet</v>
      </c>
      <c r="J20" s="235"/>
      <c r="K20" s="235"/>
      <c r="L20" s="235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  <c r="Z20" s="213"/>
      <c r="AA20" s="213"/>
      <c r="AB20" s="213"/>
      <c r="AC20" s="213"/>
      <c r="AD20" s="213"/>
      <c r="AE20" s="213"/>
      <c r="AF20" s="213"/>
      <c r="AG20" s="213"/>
      <c r="AH20" s="234"/>
      <c r="AI20" s="212"/>
      <c r="AJ20" s="212"/>
      <c r="AK20" s="212"/>
      <c r="AL20" s="212"/>
      <c r="AM20" s="212"/>
      <c r="AN20" s="212"/>
      <c r="AO20" s="212"/>
      <c r="AP20" s="212"/>
      <c r="AQ20" s="212"/>
      <c r="AR20" s="212"/>
      <c r="AS20" s="212"/>
      <c r="AT20" s="212"/>
      <c r="AU20" s="212"/>
      <c r="AV20" s="212"/>
      <c r="AW20" s="212"/>
      <c r="AX20" s="212"/>
      <c r="AY20" s="212"/>
      <c r="AZ20" s="212"/>
      <c r="BA20" s="212"/>
      <c r="BB20" s="212"/>
      <c r="BC20" s="212"/>
      <c r="BD20" s="212"/>
      <c r="BE20" s="212"/>
      <c r="BF20" s="212"/>
      <c r="BG20" s="212"/>
      <c r="BH20" s="212"/>
      <c r="BI20" s="212"/>
    </row>
    <row r="21" spans="1:61" ht="15" customHeight="1">
      <c r="A21" s="221"/>
      <c r="B21" s="233" t="s">
        <v>303</v>
      </c>
      <c r="C21" s="232">
        <v>46300</v>
      </c>
      <c r="D21" s="232">
        <v>46353</v>
      </c>
      <c r="E21" s="218" t="s">
        <v>304</v>
      </c>
      <c r="F21" s="217">
        <v>38</v>
      </c>
      <c r="G21" s="216">
        <v>0</v>
      </c>
      <c r="H21" s="216">
        <f>IFERROR(COUNTIFS(baseline!B:B,B21,baseline!H:H,1)/COUNTIF(baseline!B:B,B21),0)</f>
        <v>0</v>
      </c>
      <c r="I21" s="215" t="str">
        <f t="array" ref="I21">_xlfn.IFS(AND(G21=1, H21=1), "completed", AND(G21=0, H21=0), "not start yet", TRUE(), "in progress")</f>
        <v>not start yet</v>
      </c>
      <c r="J21" s="214"/>
      <c r="K21" s="212"/>
      <c r="L21" s="21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31"/>
      <c r="AI21" s="222"/>
      <c r="AJ21" s="222"/>
      <c r="AK21" s="230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222"/>
      <c r="BH21" s="222"/>
      <c r="BI21" s="222"/>
    </row>
    <row r="22" spans="1:61">
      <c r="A22" s="229" t="s">
        <v>11</v>
      </c>
      <c r="B22" s="228"/>
      <c r="C22" s="227">
        <f>MIN(C23:D24)</f>
        <v>46356</v>
      </c>
      <c r="D22" s="227">
        <f>MAX(C23:D24)</f>
        <v>46381</v>
      </c>
      <c r="E22" s="226"/>
      <c r="F22" s="226">
        <f>SUM(F23:F24)</f>
        <v>19</v>
      </c>
      <c r="G22" s="225">
        <f>SUMPRODUCT(F23:F24,G23:G24)/SUM(F23:F24)</f>
        <v>0</v>
      </c>
      <c r="H22" s="224">
        <f>SUMPRODUCT(F23:F24,H23:H24)/SUM(F23:F24)</f>
        <v>0</v>
      </c>
      <c r="I22" s="223"/>
      <c r="J22" s="214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22"/>
      <c r="AJ22" s="22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2"/>
      <c r="AX22" s="212"/>
      <c r="AY22" s="212"/>
      <c r="AZ22" s="212"/>
      <c r="BA22" s="213"/>
      <c r="BB22" s="213"/>
      <c r="BC22" s="213"/>
      <c r="BD22" s="213"/>
      <c r="BE22" s="212"/>
      <c r="BF22" s="212"/>
      <c r="BG22" s="212"/>
      <c r="BH22" s="212"/>
      <c r="BI22" s="212"/>
    </row>
    <row r="23" spans="1:61">
      <c r="A23" s="221"/>
      <c r="B23" s="220" t="s">
        <v>305</v>
      </c>
      <c r="C23" s="219">
        <v>46356</v>
      </c>
      <c r="D23" s="219">
        <v>46367</v>
      </c>
      <c r="E23" s="218">
        <v>42</v>
      </c>
      <c r="F23" s="217">
        <v>9</v>
      </c>
      <c r="G23" s="216">
        <v>0</v>
      </c>
      <c r="H23" s="216">
        <f>IFERROR(COUNTIFS(baseline!B:B,B23,baseline!H:H,1)/COUNTIF(baseline!B:B,B23),0)</f>
        <v>0</v>
      </c>
      <c r="I23" s="215" t="str">
        <f t="array" ref="I23">_xlfn.IFS(AND(G23=1, H23=1), "completed", AND(G23=0, H23=0), "not start yet", TRUE(), "in progress")</f>
        <v>not start yet</v>
      </c>
      <c r="J23" s="214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  <c r="AC23" s="212"/>
      <c r="AD23" s="212"/>
      <c r="AE23" s="212"/>
      <c r="AF23" s="212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2"/>
      <c r="AX23" s="212"/>
      <c r="AY23" s="212"/>
      <c r="AZ23" s="212"/>
      <c r="BA23" s="213"/>
      <c r="BB23" s="213"/>
      <c r="BC23" s="213"/>
      <c r="BD23" s="213"/>
      <c r="BE23" s="212"/>
      <c r="BF23" s="212"/>
      <c r="BG23" s="212"/>
      <c r="BH23" s="212"/>
      <c r="BI23" s="212"/>
    </row>
    <row r="24" spans="1:61">
      <c r="A24" s="211"/>
      <c r="B24" s="210" t="s">
        <v>306</v>
      </c>
      <c r="C24" s="209">
        <v>46370</v>
      </c>
      <c r="D24" s="209">
        <v>46381</v>
      </c>
      <c r="E24" s="208">
        <v>43</v>
      </c>
      <c r="F24" s="207">
        <v>10</v>
      </c>
      <c r="G24" s="206">
        <v>0</v>
      </c>
      <c r="H24" s="206">
        <f>IFERROR(COUNTIFS(baseline!B:B,B24,baseline!H:H,1)/COUNTIF(baseline!B:B,B24),0)</f>
        <v>0</v>
      </c>
      <c r="I24" s="205" t="str">
        <f t="array" ref="I24">_xlfn.IFS(AND(G24=1, H24=1), "completed", AND(G24=0, H24=0), "not start yet", TRUE(), "in progress")</f>
        <v>not start yet</v>
      </c>
      <c r="J24" s="204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202"/>
      <c r="V24" s="202"/>
      <c r="W24" s="202"/>
      <c r="X24" s="202"/>
      <c r="Y24" s="202"/>
      <c r="Z24" s="202"/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2"/>
      <c r="BA24" s="203"/>
      <c r="BB24" s="203"/>
      <c r="BC24" s="203"/>
      <c r="BD24" s="203"/>
      <c r="BE24" s="202"/>
      <c r="BF24" s="202"/>
      <c r="BG24" s="202"/>
      <c r="BH24" s="202"/>
      <c r="BI24" s="202"/>
    </row>
    <row r="26" spans="1:61">
      <c r="J26" s="201"/>
    </row>
    <row r="27" spans="1:61" ht="15" customHeight="1">
      <c r="A27" s="200" t="s">
        <v>307</v>
      </c>
    </row>
    <row r="28" spans="1:61" ht="15" customHeight="1">
      <c r="A28" s="187" t="s">
        <v>308</v>
      </c>
      <c r="C28" s="10"/>
      <c r="D28" s="10"/>
      <c r="E28" s="68"/>
    </row>
    <row r="29" spans="1:61" ht="15" customHeight="1">
      <c r="A29" s="187" t="s">
        <v>309</v>
      </c>
      <c r="C29" s="10"/>
      <c r="D29" s="10"/>
      <c r="E29" s="68"/>
    </row>
    <row r="30" spans="1:61" ht="15" customHeight="1">
      <c r="A30" s="187" t="s">
        <v>310</v>
      </c>
      <c r="C30" s="10"/>
      <c r="D30" s="10"/>
      <c r="E30" s="68"/>
    </row>
    <row r="31" spans="1:61">
      <c r="A31" s="199"/>
    </row>
    <row r="32" spans="1:61">
      <c r="A32" s="199"/>
    </row>
    <row r="33" ht="15" customHeight="1"/>
    <row r="34" ht="15" customHeight="1"/>
    <row r="35" ht="15" customHeight="1"/>
  </sheetData>
  <mergeCells count="38">
    <mergeCell ref="AO6:AP6"/>
    <mergeCell ref="AE6:AF6"/>
    <mergeCell ref="AQ6:AR6"/>
    <mergeCell ref="AJ3:AM3"/>
    <mergeCell ref="AM6:AN6"/>
    <mergeCell ref="AN3:AR3"/>
    <mergeCell ref="J2:BI2"/>
    <mergeCell ref="BA3:BE3"/>
    <mergeCell ref="M6:N6"/>
    <mergeCell ref="BA6:BB6"/>
    <mergeCell ref="BG6:BH6"/>
    <mergeCell ref="Q6:R6"/>
    <mergeCell ref="N3:Q3"/>
    <mergeCell ref="S6:T6"/>
    <mergeCell ref="Y6:Z6"/>
    <mergeCell ref="R3:V3"/>
    <mergeCell ref="AW3:AZ3"/>
    <mergeCell ref="BF3:BI3"/>
    <mergeCell ref="W3:Z3"/>
    <mergeCell ref="AK6:AL6"/>
    <mergeCell ref="AC6:AD6"/>
    <mergeCell ref="K6:L6"/>
    <mergeCell ref="BC6:BD6"/>
    <mergeCell ref="BE6:BF6"/>
    <mergeCell ref="J3:M3"/>
    <mergeCell ref="AA3:AD3"/>
    <mergeCell ref="O6:P6"/>
    <mergeCell ref="U6:V6"/>
    <mergeCell ref="W6:X6"/>
    <mergeCell ref="AS3:AV3"/>
    <mergeCell ref="AE3:AI3"/>
    <mergeCell ref="AA6:AB6"/>
    <mergeCell ref="AG6:AH6"/>
    <mergeCell ref="AS6:AT6"/>
    <mergeCell ref="AI6:AJ6"/>
    <mergeCell ref="AU6:AV6"/>
    <mergeCell ref="AW6:AX6"/>
    <mergeCell ref="AY6:AZ6"/>
  </mergeCells>
  <conditionalFormatting sqref="G8:G24">
    <cfRule type="dataBar" priority="3">
      <dataBar>
        <cfvo type="min"/>
        <cfvo type="max"/>
        <color rgb="FF63C384"/>
      </dataBar>
    </cfRule>
  </conditionalFormatting>
  <conditionalFormatting sqref="H7:H24">
    <cfRule type="dataBar" priority="4">
      <dataBar>
        <cfvo type="min"/>
        <cfvo type="max"/>
        <color rgb="FF63C384"/>
      </dataBar>
    </cfRule>
  </conditionalFormatting>
  <conditionalFormatting sqref="J4:BI4">
    <cfRule type="expression" dxfId="3" priority="1">
      <formula>AND(J$4 &lt;= TODAY(), TODAY() &lt; J$4 + 7)</formula>
    </cfRule>
  </conditionalFormatting>
  <conditionalFormatting sqref="J8:BI8 J12:BI12 J19:BI19 J22:BI22">
    <cfRule type="expression" dxfId="2" priority="2">
      <formula>AND(J$4&gt;=$C8, J$4&lt;=$D8)</formula>
    </cfRule>
  </conditionalFormatting>
  <conditionalFormatting sqref="J8:BI24">
    <cfRule type="expression" dxfId="1" priority="5">
      <formula>AND(J$4&gt;=$C8, J$4&lt;=($C8+($D8-$C8)*$H8-1))</formula>
    </cfRule>
    <cfRule type="expression" dxfId="0" priority="6">
      <formula>AND(J$4&gt;=$C8, J$4&lt;=$D8)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163"/>
  <sheetViews>
    <sheetView zoomScaleNormal="100" workbookViewId="0">
      <pane ySplit="1" topLeftCell="A124" activePane="bottomLeft" state="frozen"/>
      <selection activeCell="G9" sqref="G9"/>
      <selection pane="bottomLeft" activeCell="G9" sqref="G9"/>
    </sheetView>
  </sheetViews>
  <sheetFormatPr defaultColWidth="8.7265625" defaultRowHeight="14.5"/>
  <cols>
    <col min="1" max="1" width="16.54296875" style="195" customWidth="1"/>
    <col min="2" max="2" width="33.1796875" style="195" customWidth="1"/>
    <col min="3" max="3" width="15.7265625" style="195" customWidth="1"/>
    <col min="4" max="4" width="81" style="195" customWidth="1"/>
    <col min="5" max="5" width="13.7265625" style="195" customWidth="1"/>
    <col min="6" max="6" width="11.1796875" style="268" customWidth="1"/>
    <col min="7" max="7" width="10.7265625" style="268" customWidth="1"/>
    <col min="8" max="8" width="29.81640625" style="255" customWidth="1"/>
    <col min="9" max="10" width="20.81640625" style="255" customWidth="1"/>
    <col min="11" max="11" width="49.7265625" style="255" customWidth="1"/>
    <col min="12" max="12" width="8.7265625" style="195" customWidth="1"/>
    <col min="13" max="13" width="15.26953125" style="195" customWidth="1"/>
    <col min="14" max="14" width="29.81640625" style="195" customWidth="1"/>
    <col min="15" max="15" width="17.7265625" style="195" customWidth="1"/>
    <col min="16" max="16" width="33.1796875" style="195" customWidth="1"/>
    <col min="17" max="17" width="34.26953125" style="195" customWidth="1"/>
    <col min="18" max="18" width="29.81640625" style="195" customWidth="1"/>
    <col min="19" max="19" width="9.7265625" style="195" customWidth="1"/>
    <col min="20" max="20" width="21.26953125" style="195" customWidth="1"/>
    <col min="21" max="21" width="32.7265625" style="195" customWidth="1"/>
    <col min="22" max="22" width="19" style="195" customWidth="1"/>
    <col min="23" max="24" width="21" style="195" customWidth="1"/>
    <col min="25" max="25" width="9.1796875" style="195" customWidth="1"/>
    <col min="26" max="26" width="5" style="195" customWidth="1"/>
    <col min="27" max="27" width="7.453125" style="195" customWidth="1"/>
    <col min="28" max="28" width="11.7265625" style="195" customWidth="1"/>
    <col min="29" max="32" width="16.1796875" style="195" customWidth="1"/>
    <col min="33" max="34" width="11.7265625" style="195" customWidth="1"/>
    <col min="35" max="38" width="8.7265625" style="195" customWidth="1"/>
    <col min="39" max="16384" width="8.7265625" style="195"/>
  </cols>
  <sheetData>
    <row r="1" spans="1:21" ht="15" customHeight="1" thickBot="1">
      <c r="A1" s="308" t="s">
        <v>1</v>
      </c>
      <c r="B1" s="308" t="s">
        <v>273</v>
      </c>
      <c r="C1" s="308" t="s">
        <v>274</v>
      </c>
      <c r="D1" s="308" t="s">
        <v>317</v>
      </c>
      <c r="E1" s="308" t="s">
        <v>15</v>
      </c>
      <c r="F1" s="308" t="s">
        <v>95</v>
      </c>
      <c r="G1" s="308" t="s">
        <v>96</v>
      </c>
      <c r="H1" s="307" t="s">
        <v>275</v>
      </c>
      <c r="I1" s="307" t="s">
        <v>318</v>
      </c>
      <c r="J1" s="307" t="s">
        <v>319</v>
      </c>
      <c r="K1" s="307" t="s">
        <v>320</v>
      </c>
      <c r="M1" s="281" t="s">
        <v>321</v>
      </c>
      <c r="T1" s="281" t="s">
        <v>322</v>
      </c>
    </row>
    <row r="2" spans="1:21">
      <c r="A2" s="280" t="s">
        <v>323</v>
      </c>
      <c r="B2" s="280" t="s">
        <v>697</v>
      </c>
      <c r="C2" s="195" t="s">
        <v>325</v>
      </c>
      <c r="D2" s="195" t="s">
        <v>326</v>
      </c>
      <c r="E2" s="280">
        <v>18</v>
      </c>
      <c r="F2" s="270">
        <v>46027</v>
      </c>
      <c r="G2" s="270">
        <v>46031</v>
      </c>
      <c r="H2" s="269">
        <v>1</v>
      </c>
      <c r="I2" s="269" t="s">
        <v>327</v>
      </c>
      <c r="J2" s="269"/>
      <c r="K2" s="280" t="s">
        <v>328</v>
      </c>
      <c r="M2" s="305" t="s">
        <v>1</v>
      </c>
      <c r="N2" s="306" t="s">
        <v>15</v>
      </c>
      <c r="O2" s="306" t="s">
        <v>95</v>
      </c>
      <c r="P2" s="306" t="s">
        <v>96</v>
      </c>
      <c r="Q2" s="306" t="s">
        <v>273</v>
      </c>
      <c r="R2" s="304" t="s">
        <v>329</v>
      </c>
      <c r="T2" s="305" t="s">
        <v>1</v>
      </c>
      <c r="U2" s="304" t="s">
        <v>330</v>
      </c>
    </row>
    <row r="3" spans="1:21">
      <c r="A3" s="280" t="s">
        <v>323</v>
      </c>
      <c r="B3" s="280" t="s">
        <v>698</v>
      </c>
      <c r="C3" s="195" t="s">
        <v>331</v>
      </c>
      <c r="D3" s="195" t="s">
        <v>332</v>
      </c>
      <c r="E3" s="280">
        <v>18</v>
      </c>
      <c r="F3" s="270">
        <v>46027</v>
      </c>
      <c r="G3" s="270">
        <v>46031</v>
      </c>
      <c r="H3" s="269">
        <v>1</v>
      </c>
      <c r="I3" s="269" t="s">
        <v>327</v>
      </c>
      <c r="J3" s="269"/>
      <c r="K3" s="280" t="s">
        <v>328</v>
      </c>
      <c r="M3" s="295" t="s">
        <v>323</v>
      </c>
      <c r="N3" s="294"/>
      <c r="O3" s="293"/>
      <c r="P3" s="293"/>
      <c r="Q3" s="292"/>
      <c r="R3" s="287">
        <v>90</v>
      </c>
      <c r="T3" s="295" t="s">
        <v>323</v>
      </c>
      <c r="U3" s="299">
        <v>90</v>
      </c>
    </row>
    <row r="4" spans="1:21">
      <c r="A4" s="280" t="s">
        <v>323</v>
      </c>
      <c r="B4" s="280" t="s">
        <v>699</v>
      </c>
      <c r="C4" s="195" t="s">
        <v>333</v>
      </c>
      <c r="D4" s="195" t="s">
        <v>334</v>
      </c>
      <c r="E4" s="280">
        <v>18</v>
      </c>
      <c r="F4" s="270">
        <v>46027</v>
      </c>
      <c r="G4" s="270">
        <v>46031</v>
      </c>
      <c r="H4" s="269">
        <v>1</v>
      </c>
      <c r="I4" s="269" t="s">
        <v>327</v>
      </c>
      <c r="J4" s="269"/>
      <c r="K4" s="280" t="s">
        <v>328</v>
      </c>
      <c r="M4" s="291"/>
      <c r="N4" s="288">
        <v>18</v>
      </c>
      <c r="O4" s="289">
        <v>46027</v>
      </c>
      <c r="P4" s="289">
        <v>46031</v>
      </c>
      <c r="Q4" s="288" t="s">
        <v>324</v>
      </c>
      <c r="R4" s="287">
        <v>8</v>
      </c>
      <c r="T4" s="291" t="s">
        <v>335</v>
      </c>
      <c r="U4" s="303">
        <v>2</v>
      </c>
    </row>
    <row r="5" spans="1:21">
      <c r="A5" s="280" t="s">
        <v>323</v>
      </c>
      <c r="B5" s="280" t="s">
        <v>700</v>
      </c>
      <c r="C5" s="195" t="s">
        <v>336</v>
      </c>
      <c r="D5" s="195" t="s">
        <v>337</v>
      </c>
      <c r="E5" s="280">
        <v>18</v>
      </c>
      <c r="F5" s="270">
        <v>46027</v>
      </c>
      <c r="G5" s="270">
        <v>46031</v>
      </c>
      <c r="H5" s="269">
        <v>1</v>
      </c>
      <c r="I5" s="269" t="s">
        <v>327</v>
      </c>
      <c r="J5" s="269"/>
      <c r="K5" s="280" t="s">
        <v>328</v>
      </c>
      <c r="M5" s="291"/>
      <c r="N5" s="288">
        <v>19</v>
      </c>
      <c r="O5" s="289">
        <v>46034</v>
      </c>
      <c r="P5" s="289">
        <v>46045</v>
      </c>
      <c r="Q5" s="288" t="s">
        <v>324</v>
      </c>
      <c r="R5" s="287">
        <v>14</v>
      </c>
      <c r="T5" s="291" t="s">
        <v>338</v>
      </c>
      <c r="U5" s="303">
        <v>41</v>
      </c>
    </row>
    <row r="6" spans="1:21">
      <c r="A6" s="280" t="s">
        <v>323</v>
      </c>
      <c r="B6" s="280" t="s">
        <v>701</v>
      </c>
      <c r="C6" s="195" t="s">
        <v>339</v>
      </c>
      <c r="D6" s="195" t="s">
        <v>340</v>
      </c>
      <c r="E6" s="280">
        <v>18</v>
      </c>
      <c r="F6" s="270">
        <v>46027</v>
      </c>
      <c r="G6" s="270">
        <v>46031</v>
      </c>
      <c r="H6" s="269">
        <v>1</v>
      </c>
      <c r="I6" s="269" t="s">
        <v>327</v>
      </c>
      <c r="J6" s="269"/>
      <c r="K6" s="280" t="s">
        <v>341</v>
      </c>
      <c r="M6" s="291"/>
      <c r="N6" s="288">
        <v>20</v>
      </c>
      <c r="O6" s="289">
        <v>46048</v>
      </c>
      <c r="P6" s="289">
        <v>46059</v>
      </c>
      <c r="Q6" s="288" t="s">
        <v>342</v>
      </c>
      <c r="R6" s="287">
        <v>14</v>
      </c>
      <c r="T6" s="291" t="s">
        <v>343</v>
      </c>
      <c r="U6" s="296">
        <v>6</v>
      </c>
    </row>
    <row r="7" spans="1:21" ht="15" customHeight="1" thickBot="1">
      <c r="A7" s="280" t="s">
        <v>323</v>
      </c>
      <c r="B7" s="280" t="s">
        <v>699</v>
      </c>
      <c r="C7" s="195" t="s">
        <v>344</v>
      </c>
      <c r="D7" s="195" t="s">
        <v>345</v>
      </c>
      <c r="E7" s="280">
        <v>18</v>
      </c>
      <c r="F7" s="270">
        <v>46027</v>
      </c>
      <c r="G7" s="270">
        <v>46031</v>
      </c>
      <c r="H7" s="269">
        <v>1</v>
      </c>
      <c r="I7" s="269" t="s">
        <v>327</v>
      </c>
      <c r="J7" s="269"/>
      <c r="K7" s="280" t="s">
        <v>341</v>
      </c>
      <c r="M7" s="291"/>
      <c r="N7" s="288">
        <v>21</v>
      </c>
      <c r="O7" s="289">
        <v>46062</v>
      </c>
      <c r="P7" s="289">
        <v>46073</v>
      </c>
      <c r="Q7" s="288" t="s">
        <v>342</v>
      </c>
      <c r="R7" s="287">
        <v>8</v>
      </c>
      <c r="T7" s="302" t="s">
        <v>702</v>
      </c>
      <c r="U7" s="282">
        <v>139</v>
      </c>
    </row>
    <row r="8" spans="1:21">
      <c r="A8" s="280" t="s">
        <v>323</v>
      </c>
      <c r="B8" s="280" t="s">
        <v>323</v>
      </c>
      <c r="C8" s="195" t="s">
        <v>347</v>
      </c>
      <c r="D8" s="195" t="s">
        <v>348</v>
      </c>
      <c r="E8" s="280">
        <v>18</v>
      </c>
      <c r="F8" s="270">
        <v>46027</v>
      </c>
      <c r="G8" s="270">
        <v>46031</v>
      </c>
      <c r="H8" s="269">
        <v>1</v>
      </c>
      <c r="I8" s="269" t="s">
        <v>327</v>
      </c>
      <c r="J8" s="269"/>
      <c r="K8" s="280" t="s">
        <v>341</v>
      </c>
      <c r="M8" s="291"/>
      <c r="N8" s="300">
        <v>22</v>
      </c>
      <c r="O8" s="301">
        <v>46076</v>
      </c>
      <c r="P8" s="301">
        <v>46087</v>
      </c>
      <c r="Q8" s="300" t="s">
        <v>349</v>
      </c>
      <c r="R8" s="299">
        <v>7</v>
      </c>
    </row>
    <row r="9" spans="1:21">
      <c r="A9" s="280" t="s">
        <v>323</v>
      </c>
      <c r="B9" s="280" t="s">
        <v>700</v>
      </c>
      <c r="C9" s="195" t="s">
        <v>350</v>
      </c>
      <c r="D9" s="195" t="s">
        <v>351</v>
      </c>
      <c r="E9" s="280">
        <v>18</v>
      </c>
      <c r="F9" s="270">
        <v>46027</v>
      </c>
      <c r="G9" s="270">
        <v>46031</v>
      </c>
      <c r="H9" s="269">
        <v>1</v>
      </c>
      <c r="I9" s="269" t="s">
        <v>327</v>
      </c>
      <c r="J9" s="269"/>
      <c r="K9" s="280" t="s">
        <v>341</v>
      </c>
      <c r="M9" s="291"/>
      <c r="N9" s="297"/>
      <c r="O9" s="298"/>
      <c r="P9" s="298"/>
      <c r="Q9" s="297" t="s">
        <v>342</v>
      </c>
      <c r="R9" s="296">
        <v>4</v>
      </c>
    </row>
    <row r="10" spans="1:21">
      <c r="A10" s="280" t="s">
        <v>323</v>
      </c>
      <c r="B10" s="280" t="s">
        <v>324</v>
      </c>
      <c r="C10" s="195" t="s">
        <v>352</v>
      </c>
      <c r="D10" s="195" t="s">
        <v>200</v>
      </c>
      <c r="E10" s="280">
        <v>19</v>
      </c>
      <c r="F10" s="270">
        <v>46034</v>
      </c>
      <c r="G10" s="270">
        <v>46045</v>
      </c>
      <c r="H10" s="269">
        <v>1</v>
      </c>
      <c r="I10" s="269" t="s">
        <v>327</v>
      </c>
      <c r="J10" s="269"/>
      <c r="K10" s="269"/>
      <c r="M10" s="291"/>
      <c r="N10" s="288">
        <v>23</v>
      </c>
      <c r="O10" s="289">
        <v>46090</v>
      </c>
      <c r="P10" s="289">
        <v>46101</v>
      </c>
      <c r="Q10" s="288" t="s">
        <v>342</v>
      </c>
      <c r="R10" s="287">
        <v>7</v>
      </c>
    </row>
    <row r="11" spans="1:21">
      <c r="A11" s="280" t="s">
        <v>323</v>
      </c>
      <c r="B11" s="280" t="s">
        <v>324</v>
      </c>
      <c r="C11" s="195" t="s">
        <v>353</v>
      </c>
      <c r="D11" s="195" t="s">
        <v>201</v>
      </c>
      <c r="E11" s="280">
        <v>19</v>
      </c>
      <c r="F11" s="270">
        <v>46034</v>
      </c>
      <c r="G11" s="270">
        <v>46045</v>
      </c>
      <c r="H11" s="269">
        <v>1</v>
      </c>
      <c r="I11" s="269" t="s">
        <v>327</v>
      </c>
      <c r="J11" s="269"/>
      <c r="K11" s="269"/>
      <c r="M11" s="291"/>
      <c r="N11" s="288">
        <v>24</v>
      </c>
      <c r="O11" s="289">
        <v>46104</v>
      </c>
      <c r="P11" s="289">
        <v>46115</v>
      </c>
      <c r="Q11" s="288" t="s">
        <v>342</v>
      </c>
      <c r="R11" s="287">
        <v>11</v>
      </c>
    </row>
    <row r="12" spans="1:21">
      <c r="A12" s="280" t="s">
        <v>323</v>
      </c>
      <c r="B12" s="280" t="s">
        <v>324</v>
      </c>
      <c r="C12" s="195" t="s">
        <v>354</v>
      </c>
      <c r="D12" s="195" t="s">
        <v>355</v>
      </c>
      <c r="E12" s="280">
        <v>19</v>
      </c>
      <c r="F12" s="270">
        <v>46034</v>
      </c>
      <c r="G12" s="270">
        <v>46045</v>
      </c>
      <c r="H12" s="269">
        <v>1</v>
      </c>
      <c r="I12" s="269" t="s">
        <v>327</v>
      </c>
      <c r="J12" s="269"/>
      <c r="K12" s="269"/>
      <c r="M12" s="291"/>
      <c r="N12" s="288">
        <v>25</v>
      </c>
      <c r="O12" s="289">
        <v>46118</v>
      </c>
      <c r="P12" s="289">
        <v>46129</v>
      </c>
      <c r="Q12" s="288" t="s">
        <v>342</v>
      </c>
      <c r="R12" s="287">
        <v>5</v>
      </c>
    </row>
    <row r="13" spans="1:21">
      <c r="A13" s="280" t="s">
        <v>323</v>
      </c>
      <c r="B13" s="280" t="s">
        <v>324</v>
      </c>
      <c r="C13" s="195" t="s">
        <v>356</v>
      </c>
      <c r="D13" s="195" t="s">
        <v>357</v>
      </c>
      <c r="E13" s="280">
        <v>19</v>
      </c>
      <c r="F13" s="270">
        <v>46034</v>
      </c>
      <c r="G13" s="270">
        <v>46045</v>
      </c>
      <c r="H13" s="269">
        <v>1</v>
      </c>
      <c r="I13" s="269" t="s">
        <v>327</v>
      </c>
      <c r="J13" s="269"/>
      <c r="K13" s="269"/>
      <c r="M13" s="291"/>
      <c r="N13" s="288">
        <v>26</v>
      </c>
      <c r="O13" s="289">
        <v>46132</v>
      </c>
      <c r="P13" s="289">
        <v>46143</v>
      </c>
      <c r="Q13" s="288" t="s">
        <v>342</v>
      </c>
      <c r="R13" s="287">
        <v>6</v>
      </c>
    </row>
    <row r="14" spans="1:21">
      <c r="A14" s="280" t="s">
        <v>323</v>
      </c>
      <c r="B14" s="280" t="s">
        <v>324</v>
      </c>
      <c r="C14" s="195" t="s">
        <v>358</v>
      </c>
      <c r="D14" s="195" t="s">
        <v>359</v>
      </c>
      <c r="E14" s="280">
        <v>19</v>
      </c>
      <c r="F14" s="270">
        <v>46034</v>
      </c>
      <c r="G14" s="270">
        <v>46045</v>
      </c>
      <c r="H14" s="269">
        <v>1</v>
      </c>
      <c r="I14" s="269" t="s">
        <v>327</v>
      </c>
      <c r="J14" s="269"/>
      <c r="K14" s="269"/>
      <c r="M14" s="291"/>
      <c r="N14" s="288">
        <v>27</v>
      </c>
      <c r="O14" s="289">
        <v>46146</v>
      </c>
      <c r="P14" s="289">
        <v>46157</v>
      </c>
      <c r="Q14" s="288" t="s">
        <v>342</v>
      </c>
      <c r="R14" s="287">
        <v>5</v>
      </c>
    </row>
    <row r="15" spans="1:21">
      <c r="A15" s="280" t="s">
        <v>323</v>
      </c>
      <c r="B15" s="280" t="s">
        <v>324</v>
      </c>
      <c r="C15" s="195" t="s">
        <v>360</v>
      </c>
      <c r="D15" s="195" t="s">
        <v>361</v>
      </c>
      <c r="E15" s="280">
        <v>19</v>
      </c>
      <c r="F15" s="270">
        <v>46034</v>
      </c>
      <c r="G15" s="270">
        <v>46045</v>
      </c>
      <c r="H15" s="269">
        <v>1</v>
      </c>
      <c r="I15" s="269" t="s">
        <v>327</v>
      </c>
      <c r="J15" s="269"/>
      <c r="K15" s="269"/>
      <c r="M15" s="290"/>
      <c r="N15" s="288">
        <v>29</v>
      </c>
      <c r="O15" s="289">
        <v>46174</v>
      </c>
      <c r="P15" s="289">
        <v>46185</v>
      </c>
      <c r="Q15" s="288" t="s">
        <v>349</v>
      </c>
      <c r="R15" s="287">
        <v>1</v>
      </c>
    </row>
    <row r="16" spans="1:21">
      <c r="A16" s="280" t="s">
        <v>323</v>
      </c>
      <c r="B16" s="280" t="s">
        <v>324</v>
      </c>
      <c r="C16" s="195" t="s">
        <v>362</v>
      </c>
      <c r="D16" s="195" t="s">
        <v>363</v>
      </c>
      <c r="E16" s="280">
        <v>19</v>
      </c>
      <c r="F16" s="270">
        <v>46034</v>
      </c>
      <c r="G16" s="270">
        <v>46045</v>
      </c>
      <c r="H16" s="269">
        <v>1</v>
      </c>
      <c r="I16" s="269" t="s">
        <v>327</v>
      </c>
      <c r="J16" s="269"/>
      <c r="K16" s="269"/>
      <c r="M16" s="295" t="s">
        <v>338</v>
      </c>
      <c r="N16" s="294"/>
      <c r="O16" s="293"/>
      <c r="P16" s="293"/>
      <c r="Q16" s="292"/>
      <c r="R16" s="287">
        <v>64</v>
      </c>
    </row>
    <row r="17" spans="1:18">
      <c r="A17" s="280" t="s">
        <v>323</v>
      </c>
      <c r="B17" s="280" t="s">
        <v>701</v>
      </c>
      <c r="C17" s="195" t="s">
        <v>364</v>
      </c>
      <c r="D17" s="195" t="s">
        <v>365</v>
      </c>
      <c r="E17" s="280">
        <v>19</v>
      </c>
      <c r="F17" s="270">
        <v>46034</v>
      </c>
      <c r="G17" s="270">
        <v>46045</v>
      </c>
      <c r="H17" s="269">
        <v>1</v>
      </c>
      <c r="I17" s="269" t="s">
        <v>327</v>
      </c>
      <c r="J17" s="269"/>
      <c r="K17" s="269"/>
      <c r="M17" s="291"/>
      <c r="N17" s="288">
        <v>27</v>
      </c>
      <c r="O17" s="289">
        <v>46146</v>
      </c>
      <c r="P17" s="289">
        <v>46157</v>
      </c>
      <c r="Q17" s="288" t="s">
        <v>169</v>
      </c>
      <c r="R17" s="287">
        <v>6</v>
      </c>
    </row>
    <row r="18" spans="1:18">
      <c r="A18" s="280" t="s">
        <v>323</v>
      </c>
      <c r="B18" s="280" t="s">
        <v>697</v>
      </c>
      <c r="C18" s="195" t="s">
        <v>366</v>
      </c>
      <c r="D18" s="195" t="s">
        <v>367</v>
      </c>
      <c r="E18" s="280">
        <v>19</v>
      </c>
      <c r="F18" s="270">
        <v>46034</v>
      </c>
      <c r="G18" s="270">
        <v>46045</v>
      </c>
      <c r="H18" s="269">
        <v>1</v>
      </c>
      <c r="I18" s="269" t="s">
        <v>327</v>
      </c>
      <c r="J18" s="269"/>
      <c r="K18" s="269"/>
      <c r="M18" s="291"/>
      <c r="N18" s="288">
        <v>28</v>
      </c>
      <c r="O18" s="289">
        <v>46160</v>
      </c>
      <c r="P18" s="289">
        <v>46171</v>
      </c>
      <c r="Q18" s="288" t="s">
        <v>169</v>
      </c>
      <c r="R18" s="287">
        <v>10</v>
      </c>
    </row>
    <row r="19" spans="1:18">
      <c r="A19" s="280" t="s">
        <v>323</v>
      </c>
      <c r="B19" s="280" t="s">
        <v>703</v>
      </c>
      <c r="C19" s="195" t="s">
        <v>368</v>
      </c>
      <c r="D19" s="195" t="s">
        <v>369</v>
      </c>
      <c r="E19" s="280">
        <v>19</v>
      </c>
      <c r="F19" s="270">
        <v>46034</v>
      </c>
      <c r="G19" s="270">
        <v>46045</v>
      </c>
      <c r="H19" s="269">
        <v>1</v>
      </c>
      <c r="I19" s="269" t="s">
        <v>327</v>
      </c>
      <c r="J19" s="269"/>
      <c r="K19" s="269"/>
      <c r="M19" s="291"/>
      <c r="N19" s="288">
        <v>29</v>
      </c>
      <c r="O19" s="289">
        <v>46174</v>
      </c>
      <c r="P19" s="289">
        <v>46185</v>
      </c>
      <c r="Q19" s="288" t="s">
        <v>169</v>
      </c>
      <c r="R19" s="287">
        <v>7</v>
      </c>
    </row>
    <row r="20" spans="1:18">
      <c r="A20" s="280" t="s">
        <v>323</v>
      </c>
      <c r="B20" s="280" t="s">
        <v>704</v>
      </c>
      <c r="C20" s="195" t="s">
        <v>370</v>
      </c>
      <c r="D20" s="195" t="s">
        <v>371</v>
      </c>
      <c r="E20" s="280">
        <v>19</v>
      </c>
      <c r="F20" s="270">
        <v>46034</v>
      </c>
      <c r="G20" s="270">
        <v>46045</v>
      </c>
      <c r="H20" s="269">
        <v>1</v>
      </c>
      <c r="I20" s="269" t="s">
        <v>327</v>
      </c>
      <c r="J20" s="269"/>
      <c r="K20" s="269"/>
      <c r="M20" s="291"/>
      <c r="N20" s="300">
        <v>30</v>
      </c>
      <c r="O20" s="301">
        <v>46188</v>
      </c>
      <c r="P20" s="301">
        <v>46199</v>
      </c>
      <c r="Q20" s="300" t="s">
        <v>169</v>
      </c>
      <c r="R20" s="299">
        <v>4</v>
      </c>
    </row>
    <row r="21" spans="1:18">
      <c r="A21" s="280" t="s">
        <v>323</v>
      </c>
      <c r="B21" s="280" t="s">
        <v>700</v>
      </c>
      <c r="C21" s="195" t="s">
        <v>372</v>
      </c>
      <c r="D21" s="195" t="s">
        <v>373</v>
      </c>
      <c r="E21" s="280">
        <v>19</v>
      </c>
      <c r="F21" s="270">
        <v>46034</v>
      </c>
      <c r="G21" s="270">
        <v>46045</v>
      </c>
      <c r="H21" s="269">
        <v>1</v>
      </c>
      <c r="I21" s="269" t="s">
        <v>327</v>
      </c>
      <c r="J21" s="269"/>
      <c r="K21" s="269"/>
      <c r="M21" s="291"/>
      <c r="N21" s="297"/>
      <c r="O21" s="298"/>
      <c r="P21" s="298"/>
      <c r="Q21" s="297" t="s">
        <v>705</v>
      </c>
      <c r="R21" s="296">
        <v>7</v>
      </c>
    </row>
    <row r="22" spans="1:18">
      <c r="A22" s="280" t="s">
        <v>323</v>
      </c>
      <c r="B22" s="280" t="s">
        <v>706</v>
      </c>
      <c r="C22" s="195" t="s">
        <v>375</v>
      </c>
      <c r="D22" s="195" t="s">
        <v>376</v>
      </c>
      <c r="E22" s="280">
        <v>19</v>
      </c>
      <c r="F22" s="270">
        <v>46034</v>
      </c>
      <c r="G22" s="270">
        <v>46045</v>
      </c>
      <c r="H22" s="269">
        <v>1</v>
      </c>
      <c r="I22" s="269" t="s">
        <v>327</v>
      </c>
      <c r="J22" s="269"/>
      <c r="K22" s="269"/>
      <c r="M22" s="291"/>
      <c r="N22" s="300">
        <v>31</v>
      </c>
      <c r="O22" s="301">
        <v>46202</v>
      </c>
      <c r="P22" s="301">
        <v>46213</v>
      </c>
      <c r="Q22" s="300" t="s">
        <v>374</v>
      </c>
      <c r="R22" s="299">
        <v>2</v>
      </c>
    </row>
    <row r="23" spans="1:18">
      <c r="A23" s="280" t="s">
        <v>323</v>
      </c>
      <c r="B23" s="280" t="s">
        <v>699</v>
      </c>
      <c r="C23" s="195" t="s">
        <v>377</v>
      </c>
      <c r="D23" s="195" t="s">
        <v>378</v>
      </c>
      <c r="E23" s="280">
        <v>19</v>
      </c>
      <c r="F23" s="270">
        <v>46034</v>
      </c>
      <c r="G23" s="270">
        <v>46045</v>
      </c>
      <c r="H23" s="269">
        <v>1</v>
      </c>
      <c r="I23" s="269" t="s">
        <v>327</v>
      </c>
      <c r="J23" s="269"/>
      <c r="K23" s="269"/>
      <c r="M23" s="291"/>
      <c r="N23" s="297"/>
      <c r="O23" s="298"/>
      <c r="P23" s="298"/>
      <c r="Q23" s="297" t="s">
        <v>169</v>
      </c>
      <c r="R23" s="296">
        <v>3</v>
      </c>
    </row>
    <row r="24" spans="1:18" ht="15" customHeight="1">
      <c r="A24" s="280" t="s">
        <v>323</v>
      </c>
      <c r="B24" s="280" t="s">
        <v>700</v>
      </c>
      <c r="C24" s="195" t="s">
        <v>379</v>
      </c>
      <c r="D24" s="195" t="s">
        <v>199</v>
      </c>
      <c r="E24" s="195">
        <v>20</v>
      </c>
      <c r="F24" s="270">
        <v>46048</v>
      </c>
      <c r="G24" s="270">
        <v>46059</v>
      </c>
      <c r="H24" s="269">
        <v>1</v>
      </c>
      <c r="I24" s="269" t="s">
        <v>327</v>
      </c>
      <c r="J24" s="269"/>
      <c r="K24" s="269"/>
      <c r="M24" s="291"/>
      <c r="N24" s="300">
        <v>32</v>
      </c>
      <c r="O24" s="301">
        <v>46216</v>
      </c>
      <c r="P24" s="301">
        <v>46227</v>
      </c>
      <c r="Q24" s="300" t="s">
        <v>374</v>
      </c>
      <c r="R24" s="299">
        <v>14</v>
      </c>
    </row>
    <row r="25" spans="1:18" ht="15" customHeight="1">
      <c r="A25" s="280" t="s">
        <v>323</v>
      </c>
      <c r="B25" s="280" t="s">
        <v>707</v>
      </c>
      <c r="C25" s="195" t="s">
        <v>380</v>
      </c>
      <c r="D25" s="195" t="s">
        <v>381</v>
      </c>
      <c r="E25" s="195">
        <v>20</v>
      </c>
      <c r="F25" s="270">
        <v>46048</v>
      </c>
      <c r="G25" s="270">
        <v>46059</v>
      </c>
      <c r="H25" s="269">
        <v>1</v>
      </c>
      <c r="I25" s="269" t="s">
        <v>327</v>
      </c>
      <c r="J25" s="269"/>
      <c r="K25" s="269"/>
      <c r="M25" s="291"/>
      <c r="N25" s="297"/>
      <c r="O25" s="298"/>
      <c r="P25" s="298"/>
      <c r="Q25" s="297" t="s">
        <v>294</v>
      </c>
      <c r="R25" s="296">
        <v>1</v>
      </c>
    </row>
    <row r="26" spans="1:18" ht="15" customHeight="1">
      <c r="A26" s="280" t="s">
        <v>323</v>
      </c>
      <c r="B26" s="280" t="s">
        <v>707</v>
      </c>
      <c r="C26" s="195" t="s">
        <v>382</v>
      </c>
      <c r="D26" s="195" t="s">
        <v>383</v>
      </c>
      <c r="E26" s="195">
        <v>20</v>
      </c>
      <c r="F26" s="270">
        <v>46048</v>
      </c>
      <c r="G26" s="270">
        <v>46059</v>
      </c>
      <c r="H26" s="269">
        <v>1</v>
      </c>
      <c r="I26" s="269" t="s">
        <v>327</v>
      </c>
      <c r="J26" s="269"/>
      <c r="K26" s="269"/>
      <c r="M26" s="291"/>
      <c r="N26" s="300">
        <v>33</v>
      </c>
      <c r="O26" s="301">
        <v>46230</v>
      </c>
      <c r="P26" s="301">
        <v>46241</v>
      </c>
      <c r="Q26" s="300" t="s">
        <v>296</v>
      </c>
      <c r="R26" s="299">
        <v>2</v>
      </c>
    </row>
    <row r="27" spans="1:18" ht="15" customHeight="1">
      <c r="A27" s="280" t="s">
        <v>323</v>
      </c>
      <c r="B27" s="280" t="s">
        <v>704</v>
      </c>
      <c r="C27" s="195" t="s">
        <v>384</v>
      </c>
      <c r="D27" s="195" t="s">
        <v>385</v>
      </c>
      <c r="E27" s="195">
        <v>20</v>
      </c>
      <c r="F27" s="270">
        <v>46048</v>
      </c>
      <c r="G27" s="270">
        <v>46059</v>
      </c>
      <c r="H27" s="269">
        <v>1</v>
      </c>
      <c r="I27" s="269" t="s">
        <v>327</v>
      </c>
      <c r="J27" s="269"/>
      <c r="K27" s="269"/>
      <c r="M27" s="291"/>
      <c r="N27" s="297"/>
      <c r="O27" s="298"/>
      <c r="P27" s="298"/>
      <c r="Q27" s="297" t="s">
        <v>294</v>
      </c>
      <c r="R27" s="296">
        <v>1</v>
      </c>
    </row>
    <row r="28" spans="1:18" ht="15" customHeight="1">
      <c r="A28" s="280" t="s">
        <v>323</v>
      </c>
      <c r="B28" s="280" t="s">
        <v>699</v>
      </c>
      <c r="C28" s="195" t="s">
        <v>386</v>
      </c>
      <c r="D28" s="195" t="s">
        <v>387</v>
      </c>
      <c r="E28" s="195">
        <v>20</v>
      </c>
      <c r="F28" s="270">
        <v>46048</v>
      </c>
      <c r="G28" s="270">
        <v>46059</v>
      </c>
      <c r="H28" s="269">
        <v>1</v>
      </c>
      <c r="I28" s="269" t="s">
        <v>327</v>
      </c>
      <c r="J28" s="269"/>
      <c r="K28" s="269"/>
      <c r="M28" s="291"/>
      <c r="N28" s="300">
        <v>34</v>
      </c>
      <c r="O28" s="301">
        <v>46244</v>
      </c>
      <c r="P28" s="301">
        <v>46255</v>
      </c>
      <c r="Q28" s="300" t="s">
        <v>296</v>
      </c>
      <c r="R28" s="299">
        <v>2</v>
      </c>
    </row>
    <row r="29" spans="1:18" ht="15" customHeight="1">
      <c r="A29" s="280" t="s">
        <v>323</v>
      </c>
      <c r="B29" s="280" t="s">
        <v>699</v>
      </c>
      <c r="C29" s="195" t="s">
        <v>388</v>
      </c>
      <c r="D29" s="195" t="s">
        <v>389</v>
      </c>
      <c r="E29" s="195">
        <v>20</v>
      </c>
      <c r="F29" s="270">
        <v>46048</v>
      </c>
      <c r="G29" s="270">
        <v>46059</v>
      </c>
      <c r="H29" s="269">
        <v>1</v>
      </c>
      <c r="I29" s="269" t="s">
        <v>327</v>
      </c>
      <c r="J29" s="269"/>
      <c r="K29" s="269"/>
      <c r="M29" s="291"/>
      <c r="N29" s="297"/>
      <c r="O29" s="298"/>
      <c r="P29" s="298"/>
      <c r="Q29" s="297" t="s">
        <v>298</v>
      </c>
      <c r="R29" s="296">
        <v>1</v>
      </c>
    </row>
    <row r="30" spans="1:18" ht="15" customHeight="1">
      <c r="A30" s="280" t="s">
        <v>323</v>
      </c>
      <c r="B30" s="280" t="s">
        <v>699</v>
      </c>
      <c r="C30" s="195" t="s">
        <v>390</v>
      </c>
      <c r="D30" s="195" t="s">
        <v>391</v>
      </c>
      <c r="E30" s="195">
        <v>20</v>
      </c>
      <c r="F30" s="270">
        <v>46048</v>
      </c>
      <c r="G30" s="270">
        <v>46059</v>
      </c>
      <c r="H30" s="269">
        <v>1</v>
      </c>
      <c r="I30" s="269" t="s">
        <v>327</v>
      </c>
      <c r="J30" s="269"/>
      <c r="K30" s="269"/>
      <c r="M30" s="291"/>
      <c r="N30" s="300">
        <v>35</v>
      </c>
      <c r="O30" s="301">
        <v>46258</v>
      </c>
      <c r="P30" s="301">
        <v>46269</v>
      </c>
      <c r="Q30" s="300" t="s">
        <v>300</v>
      </c>
      <c r="R30" s="299">
        <v>2</v>
      </c>
    </row>
    <row r="31" spans="1:18" ht="15" customHeight="1">
      <c r="A31" s="280" t="s">
        <v>323</v>
      </c>
      <c r="B31" s="280" t="s">
        <v>699</v>
      </c>
      <c r="C31" s="195" t="s">
        <v>392</v>
      </c>
      <c r="D31" s="195" t="s">
        <v>393</v>
      </c>
      <c r="E31" s="195">
        <v>20</v>
      </c>
      <c r="F31" s="270">
        <v>46048</v>
      </c>
      <c r="G31" s="270">
        <v>46059</v>
      </c>
      <c r="H31" s="269">
        <v>1</v>
      </c>
      <c r="I31" s="269" t="s">
        <v>327</v>
      </c>
      <c r="J31" s="269"/>
      <c r="K31" s="269"/>
      <c r="M31" s="290"/>
      <c r="N31" s="297"/>
      <c r="O31" s="298"/>
      <c r="P31" s="298"/>
      <c r="Q31" s="297" t="s">
        <v>298</v>
      </c>
      <c r="R31" s="296">
        <v>2</v>
      </c>
    </row>
    <row r="32" spans="1:18" ht="15" customHeight="1">
      <c r="A32" s="280" t="s">
        <v>323</v>
      </c>
      <c r="B32" s="280" t="s">
        <v>699</v>
      </c>
      <c r="C32" s="195" t="s">
        <v>394</v>
      </c>
      <c r="D32" s="195" t="s">
        <v>395</v>
      </c>
      <c r="E32" s="195">
        <v>20</v>
      </c>
      <c r="F32" s="270">
        <v>46048</v>
      </c>
      <c r="G32" s="270">
        <v>46059</v>
      </c>
      <c r="H32" s="269">
        <v>1</v>
      </c>
      <c r="I32" s="269" t="s">
        <v>327</v>
      </c>
      <c r="J32" s="269"/>
      <c r="K32" s="269"/>
      <c r="M32" s="295" t="s">
        <v>335</v>
      </c>
      <c r="N32" s="294"/>
      <c r="O32" s="293"/>
      <c r="P32" s="293"/>
      <c r="Q32" s="292"/>
      <c r="R32" s="287">
        <v>2</v>
      </c>
    </row>
    <row r="33" spans="1:18" ht="15" customHeight="1">
      <c r="A33" s="280" t="s">
        <v>323</v>
      </c>
      <c r="B33" s="280" t="s">
        <v>708</v>
      </c>
      <c r="C33" s="195" t="s">
        <v>396</v>
      </c>
      <c r="D33" s="195" t="s">
        <v>397</v>
      </c>
      <c r="E33" s="195">
        <v>20</v>
      </c>
      <c r="F33" s="270">
        <v>46048</v>
      </c>
      <c r="G33" s="270">
        <v>46059</v>
      </c>
      <c r="H33" s="269">
        <v>1</v>
      </c>
      <c r="I33" s="269" t="s">
        <v>327</v>
      </c>
      <c r="J33" s="269"/>
      <c r="K33" s="269"/>
      <c r="M33" s="291"/>
      <c r="N33" s="288">
        <v>42</v>
      </c>
      <c r="O33" s="289">
        <v>46356</v>
      </c>
      <c r="P33" s="289">
        <v>46367</v>
      </c>
      <c r="Q33" s="288" t="s">
        <v>305</v>
      </c>
      <c r="R33" s="287">
        <v>1</v>
      </c>
    </row>
    <row r="34" spans="1:18">
      <c r="A34" s="280" t="s">
        <v>709</v>
      </c>
      <c r="B34" s="195" t="s">
        <v>342</v>
      </c>
      <c r="C34" s="195" t="s">
        <v>398</v>
      </c>
      <c r="D34" s="195" t="s">
        <v>399</v>
      </c>
      <c r="E34" s="195">
        <v>20</v>
      </c>
      <c r="F34" s="270">
        <v>46048</v>
      </c>
      <c r="G34" s="270">
        <v>46059</v>
      </c>
      <c r="H34" s="269">
        <v>1</v>
      </c>
      <c r="I34" s="269" t="s">
        <v>327</v>
      </c>
      <c r="J34" s="269"/>
      <c r="K34" s="269"/>
      <c r="M34" s="290"/>
      <c r="N34" s="288">
        <v>43</v>
      </c>
      <c r="O34" s="289">
        <v>46370</v>
      </c>
      <c r="P34" s="289">
        <v>46381</v>
      </c>
      <c r="Q34" s="288" t="s">
        <v>306</v>
      </c>
      <c r="R34" s="287">
        <v>1</v>
      </c>
    </row>
    <row r="35" spans="1:18">
      <c r="A35" s="280" t="s">
        <v>323</v>
      </c>
      <c r="B35" s="195" t="s">
        <v>342</v>
      </c>
      <c r="C35" s="195" t="s">
        <v>400</v>
      </c>
      <c r="D35" s="195" t="s">
        <v>401</v>
      </c>
      <c r="E35" s="195">
        <v>20</v>
      </c>
      <c r="F35" s="270">
        <v>46048</v>
      </c>
      <c r="G35" s="270">
        <v>46059</v>
      </c>
      <c r="H35" s="269">
        <v>1</v>
      </c>
      <c r="I35" s="269" t="s">
        <v>327</v>
      </c>
      <c r="J35" s="269"/>
      <c r="K35" s="269"/>
      <c r="M35" s="295" t="s">
        <v>343</v>
      </c>
      <c r="N35" s="294"/>
      <c r="O35" s="293"/>
      <c r="P35" s="293"/>
      <c r="Q35" s="292"/>
      <c r="R35" s="287">
        <v>6</v>
      </c>
    </row>
    <row r="36" spans="1:18">
      <c r="A36" s="280" t="s">
        <v>323</v>
      </c>
      <c r="B36" s="195" t="s">
        <v>342</v>
      </c>
      <c r="C36" s="195" t="s">
        <v>402</v>
      </c>
      <c r="D36" s="195" t="s">
        <v>403</v>
      </c>
      <c r="E36" s="195">
        <v>20</v>
      </c>
      <c r="F36" s="270">
        <v>46048</v>
      </c>
      <c r="G36" s="270">
        <v>46059</v>
      </c>
      <c r="H36" s="269">
        <v>1</v>
      </c>
      <c r="I36" s="269" t="s">
        <v>327</v>
      </c>
      <c r="J36" s="269"/>
      <c r="K36" s="269"/>
      <c r="M36" s="291"/>
      <c r="N36" s="288">
        <v>36</v>
      </c>
      <c r="O36" s="289">
        <v>46272</v>
      </c>
      <c r="P36" s="289">
        <v>46283</v>
      </c>
      <c r="Q36" s="288" t="s">
        <v>301</v>
      </c>
      <c r="R36" s="287">
        <v>1</v>
      </c>
    </row>
    <row r="37" spans="1:18">
      <c r="A37" s="280" t="s">
        <v>323</v>
      </c>
      <c r="B37" s="195" t="s">
        <v>342</v>
      </c>
      <c r="C37" s="195" t="s">
        <v>404</v>
      </c>
      <c r="D37" s="195" t="s">
        <v>405</v>
      </c>
      <c r="E37" s="195">
        <v>20</v>
      </c>
      <c r="F37" s="270">
        <v>46048</v>
      </c>
      <c r="G37" s="270">
        <v>46059</v>
      </c>
      <c r="H37" s="269">
        <v>1</v>
      </c>
      <c r="I37" s="269" t="s">
        <v>327</v>
      </c>
      <c r="J37" s="269"/>
      <c r="K37" s="269"/>
      <c r="M37" s="291"/>
      <c r="N37" s="288">
        <v>37</v>
      </c>
      <c r="O37" s="289">
        <v>46286</v>
      </c>
      <c r="P37" s="289">
        <v>46297</v>
      </c>
      <c r="Q37" s="288" t="s">
        <v>301</v>
      </c>
      <c r="R37" s="287">
        <v>1</v>
      </c>
    </row>
    <row r="38" spans="1:18" ht="15" customHeight="1">
      <c r="A38" s="195" t="s">
        <v>709</v>
      </c>
      <c r="B38" s="195" t="s">
        <v>342</v>
      </c>
      <c r="C38" s="195" t="s">
        <v>406</v>
      </c>
      <c r="D38" s="195" t="s">
        <v>407</v>
      </c>
      <c r="E38" s="195">
        <v>21</v>
      </c>
      <c r="F38" s="270">
        <v>46062</v>
      </c>
      <c r="G38" s="270">
        <v>46073</v>
      </c>
      <c r="H38" s="269">
        <v>1</v>
      </c>
      <c r="I38" s="269" t="s">
        <v>327</v>
      </c>
      <c r="J38" s="269"/>
      <c r="K38" s="269"/>
      <c r="M38" s="291"/>
      <c r="N38" s="288">
        <v>38</v>
      </c>
      <c r="O38" s="289">
        <v>46300</v>
      </c>
      <c r="P38" s="289">
        <v>46311</v>
      </c>
      <c r="Q38" s="288" t="s">
        <v>303</v>
      </c>
      <c r="R38" s="287">
        <v>1</v>
      </c>
    </row>
    <row r="39" spans="1:18" ht="15" customHeight="1">
      <c r="A39" s="280" t="s">
        <v>323</v>
      </c>
      <c r="B39" s="280" t="s">
        <v>704</v>
      </c>
      <c r="C39" s="195" t="s">
        <v>408</v>
      </c>
      <c r="D39" s="195" t="s">
        <v>409</v>
      </c>
      <c r="E39" s="195">
        <v>21</v>
      </c>
      <c r="F39" s="270">
        <v>46062</v>
      </c>
      <c r="G39" s="270">
        <v>46073</v>
      </c>
      <c r="H39" s="269">
        <v>1</v>
      </c>
      <c r="I39" s="269" t="s">
        <v>327</v>
      </c>
      <c r="J39" s="269"/>
      <c r="K39" s="269"/>
      <c r="M39" s="291"/>
      <c r="N39" s="288">
        <v>39</v>
      </c>
      <c r="O39" s="289">
        <v>46314</v>
      </c>
      <c r="P39" s="289">
        <v>46325</v>
      </c>
      <c r="Q39" s="288" t="s">
        <v>303</v>
      </c>
      <c r="R39" s="287">
        <v>1</v>
      </c>
    </row>
    <row r="40" spans="1:18">
      <c r="A40" s="280" t="s">
        <v>323</v>
      </c>
      <c r="B40" s="195" t="s">
        <v>342</v>
      </c>
      <c r="C40" s="195" t="s">
        <v>410</v>
      </c>
      <c r="D40" s="195" t="s">
        <v>411</v>
      </c>
      <c r="E40" s="195">
        <v>21</v>
      </c>
      <c r="F40" s="270">
        <v>46062</v>
      </c>
      <c r="G40" s="270">
        <v>46073</v>
      </c>
      <c r="H40" s="269">
        <v>1</v>
      </c>
      <c r="I40" s="269" t="s">
        <v>327</v>
      </c>
      <c r="J40" s="269"/>
      <c r="K40" s="269"/>
      <c r="M40" s="291"/>
      <c r="N40" s="288">
        <v>40</v>
      </c>
      <c r="O40" s="289">
        <v>46328</v>
      </c>
      <c r="P40" s="289">
        <v>46339</v>
      </c>
      <c r="Q40" s="288" t="s">
        <v>303</v>
      </c>
      <c r="R40" s="287">
        <v>1</v>
      </c>
    </row>
    <row r="41" spans="1:18">
      <c r="A41" s="280" t="s">
        <v>323</v>
      </c>
      <c r="B41" s="195" t="s">
        <v>342</v>
      </c>
      <c r="C41" s="195" t="s">
        <v>412</v>
      </c>
      <c r="D41" s="195" t="s">
        <v>413</v>
      </c>
      <c r="E41" s="195">
        <v>21</v>
      </c>
      <c r="F41" s="270">
        <v>46062</v>
      </c>
      <c r="G41" s="270">
        <v>46073</v>
      </c>
      <c r="H41" s="269">
        <v>1</v>
      </c>
      <c r="I41" s="269" t="s">
        <v>327</v>
      </c>
      <c r="J41" s="269"/>
      <c r="K41" s="269"/>
      <c r="M41" s="290"/>
      <c r="N41" s="288">
        <v>41</v>
      </c>
      <c r="O41" s="289">
        <v>46342</v>
      </c>
      <c r="P41" s="289">
        <v>46353</v>
      </c>
      <c r="Q41" s="288" t="s">
        <v>303</v>
      </c>
      <c r="R41" s="287">
        <v>1</v>
      </c>
    </row>
    <row r="42" spans="1:18" ht="15" customHeight="1" thickBot="1">
      <c r="A42" s="280" t="s">
        <v>323</v>
      </c>
      <c r="B42" s="195" t="s">
        <v>342</v>
      </c>
      <c r="C42" s="195" t="s">
        <v>415</v>
      </c>
      <c r="D42" s="195" t="s">
        <v>416</v>
      </c>
      <c r="E42" s="195">
        <v>21</v>
      </c>
      <c r="F42" s="270">
        <v>46062</v>
      </c>
      <c r="G42" s="270">
        <v>46073</v>
      </c>
      <c r="H42" s="269">
        <v>1</v>
      </c>
      <c r="I42" s="269" t="s">
        <v>327</v>
      </c>
      <c r="J42" s="269"/>
      <c r="K42" s="269"/>
      <c r="M42" s="286" t="s">
        <v>702</v>
      </c>
      <c r="N42" s="285"/>
      <c r="O42" s="284"/>
      <c r="P42" s="284"/>
      <c r="Q42" s="283"/>
      <c r="R42" s="282">
        <v>162</v>
      </c>
    </row>
    <row r="43" spans="1:18">
      <c r="A43" s="280" t="s">
        <v>323</v>
      </c>
      <c r="B43" s="195" t="s">
        <v>342</v>
      </c>
      <c r="C43" s="195" t="s">
        <v>417</v>
      </c>
      <c r="D43" s="195" t="s">
        <v>418</v>
      </c>
      <c r="E43" s="195">
        <v>21</v>
      </c>
      <c r="F43" s="270">
        <v>46062</v>
      </c>
      <c r="G43" s="270">
        <v>46073</v>
      </c>
      <c r="H43" s="269">
        <v>1</v>
      </c>
      <c r="I43" s="269" t="s">
        <v>327</v>
      </c>
      <c r="J43" s="269"/>
      <c r="K43" s="269"/>
    </row>
    <row r="44" spans="1:18">
      <c r="A44" s="280" t="s">
        <v>323</v>
      </c>
      <c r="B44" s="195" t="s">
        <v>342</v>
      </c>
      <c r="C44" s="195" t="s">
        <v>419</v>
      </c>
      <c r="D44" s="195" t="s">
        <v>420</v>
      </c>
      <c r="E44" s="195">
        <v>21</v>
      </c>
      <c r="F44" s="270">
        <v>46062</v>
      </c>
      <c r="G44" s="270">
        <v>46073</v>
      </c>
      <c r="H44" s="269">
        <v>1</v>
      </c>
      <c r="I44" s="269" t="s">
        <v>327</v>
      </c>
      <c r="J44" s="269"/>
      <c r="K44" s="269"/>
    </row>
    <row r="45" spans="1:18" ht="15" customHeight="1">
      <c r="A45" s="280" t="s">
        <v>323</v>
      </c>
      <c r="B45" s="280" t="s">
        <v>699</v>
      </c>
      <c r="C45" s="195" t="s">
        <v>421</v>
      </c>
      <c r="D45" s="195" t="s">
        <v>422</v>
      </c>
      <c r="E45" s="195">
        <v>21</v>
      </c>
      <c r="F45" s="270">
        <v>46062</v>
      </c>
      <c r="G45" s="270">
        <v>46073</v>
      </c>
      <c r="H45" s="269">
        <v>1</v>
      </c>
      <c r="I45" s="269" t="s">
        <v>327</v>
      </c>
      <c r="J45" s="269"/>
      <c r="K45" s="269"/>
      <c r="M45" s="281"/>
    </row>
    <row r="46" spans="1:18">
      <c r="A46" s="280" t="s">
        <v>323</v>
      </c>
      <c r="B46" s="195" t="s">
        <v>342</v>
      </c>
      <c r="C46" s="195" t="s">
        <v>423</v>
      </c>
      <c r="D46" s="195" t="s">
        <v>424</v>
      </c>
      <c r="E46" s="195">
        <v>22</v>
      </c>
      <c r="F46" s="270">
        <v>46076</v>
      </c>
      <c r="G46" s="270">
        <v>46087</v>
      </c>
      <c r="H46" s="269">
        <v>1</v>
      </c>
      <c r="I46" s="269" t="s">
        <v>327</v>
      </c>
      <c r="J46" s="269"/>
      <c r="K46" s="269"/>
    </row>
    <row r="47" spans="1:18">
      <c r="A47" s="280" t="s">
        <v>323</v>
      </c>
      <c r="B47" s="195" t="s">
        <v>342</v>
      </c>
      <c r="C47" s="195" t="s">
        <v>425</v>
      </c>
      <c r="D47" s="195" t="s">
        <v>426</v>
      </c>
      <c r="E47" s="195">
        <v>22</v>
      </c>
      <c r="F47" s="270">
        <v>46076</v>
      </c>
      <c r="G47" s="270">
        <v>46087</v>
      </c>
      <c r="H47" s="269">
        <v>1</v>
      </c>
      <c r="I47" s="269" t="s">
        <v>327</v>
      </c>
      <c r="J47" s="269"/>
      <c r="K47" s="269"/>
    </row>
    <row r="48" spans="1:18">
      <c r="A48" s="280" t="s">
        <v>323</v>
      </c>
      <c r="B48" s="195" t="s">
        <v>342</v>
      </c>
      <c r="C48" s="195" t="s">
        <v>427</v>
      </c>
      <c r="D48" s="195" t="s">
        <v>428</v>
      </c>
      <c r="E48" s="195">
        <v>22</v>
      </c>
      <c r="F48" s="270">
        <v>46076</v>
      </c>
      <c r="G48" s="270">
        <v>46087</v>
      </c>
      <c r="H48" s="269">
        <v>1</v>
      </c>
      <c r="I48" s="269" t="s">
        <v>327</v>
      </c>
      <c r="J48" s="269"/>
      <c r="K48" s="269"/>
    </row>
    <row r="49" spans="1:11">
      <c r="A49" s="280" t="s">
        <v>323</v>
      </c>
      <c r="B49" s="195" t="s">
        <v>342</v>
      </c>
      <c r="C49" s="195" t="s">
        <v>429</v>
      </c>
      <c r="D49" s="195" t="s">
        <v>430</v>
      </c>
      <c r="E49" s="195">
        <v>22</v>
      </c>
      <c r="F49" s="270">
        <v>46076</v>
      </c>
      <c r="G49" s="270">
        <v>46087</v>
      </c>
      <c r="H49" s="269">
        <v>1</v>
      </c>
      <c r="I49" s="269" t="s">
        <v>327</v>
      </c>
      <c r="J49" s="269"/>
      <c r="K49" s="269"/>
    </row>
    <row r="50" spans="1:11">
      <c r="A50" s="280" t="s">
        <v>323</v>
      </c>
      <c r="B50" s="195" t="s">
        <v>342</v>
      </c>
      <c r="C50" s="195" t="s">
        <v>431</v>
      </c>
      <c r="D50" s="195" t="s">
        <v>432</v>
      </c>
      <c r="E50" s="195">
        <v>22</v>
      </c>
      <c r="F50" s="270">
        <v>46076</v>
      </c>
      <c r="G50" s="270">
        <v>46087</v>
      </c>
      <c r="H50" s="269">
        <v>1</v>
      </c>
      <c r="I50" s="269" t="s">
        <v>327</v>
      </c>
      <c r="J50" s="269"/>
      <c r="K50" s="269"/>
    </row>
    <row r="51" spans="1:11">
      <c r="A51" s="280" t="s">
        <v>323</v>
      </c>
      <c r="B51" s="195" t="s">
        <v>342</v>
      </c>
      <c r="C51" s="195" t="s">
        <v>433</v>
      </c>
      <c r="D51" s="195" t="s">
        <v>434</v>
      </c>
      <c r="E51" s="195">
        <v>22</v>
      </c>
      <c r="F51" s="270">
        <v>46076</v>
      </c>
      <c r="G51" s="270">
        <v>46087</v>
      </c>
      <c r="H51" s="269">
        <v>1</v>
      </c>
      <c r="I51" s="269" t="s">
        <v>327</v>
      </c>
      <c r="J51" s="269"/>
      <c r="K51" s="269"/>
    </row>
    <row r="52" spans="1:11">
      <c r="A52" s="280" t="s">
        <v>323</v>
      </c>
      <c r="B52" s="195" t="s">
        <v>342</v>
      </c>
      <c r="C52" s="195" t="s">
        <v>435</v>
      </c>
      <c r="D52" s="195" t="s">
        <v>436</v>
      </c>
      <c r="E52" s="195">
        <v>22</v>
      </c>
      <c r="F52" s="270">
        <v>46076</v>
      </c>
      <c r="G52" s="270">
        <v>46087</v>
      </c>
      <c r="H52" s="269">
        <v>1</v>
      </c>
      <c r="I52" s="269" t="s">
        <v>327</v>
      </c>
      <c r="J52" s="269"/>
      <c r="K52" s="269"/>
    </row>
    <row r="53" spans="1:11">
      <c r="A53" s="280" t="s">
        <v>323</v>
      </c>
      <c r="B53" s="195" t="s">
        <v>342</v>
      </c>
      <c r="C53" s="195" t="s">
        <v>437</v>
      </c>
      <c r="D53" s="195" t="s">
        <v>438</v>
      </c>
      <c r="E53" s="195">
        <v>22</v>
      </c>
      <c r="F53" s="270">
        <v>46076</v>
      </c>
      <c r="G53" s="270">
        <v>46087</v>
      </c>
      <c r="H53" s="269">
        <v>1</v>
      </c>
      <c r="I53" s="269" t="s">
        <v>327</v>
      </c>
      <c r="J53" s="269"/>
      <c r="K53" s="269"/>
    </row>
    <row r="54" spans="1:11">
      <c r="A54" s="280" t="s">
        <v>323</v>
      </c>
      <c r="B54" s="195" t="s">
        <v>342</v>
      </c>
      <c r="C54" s="195" t="s">
        <v>439</v>
      </c>
      <c r="D54" s="195" t="s">
        <v>440</v>
      </c>
      <c r="E54" s="195">
        <v>22</v>
      </c>
      <c r="F54" s="270">
        <v>46076</v>
      </c>
      <c r="G54" s="270">
        <v>46087</v>
      </c>
      <c r="H54" s="269">
        <v>1</v>
      </c>
      <c r="I54" s="269" t="s">
        <v>327</v>
      </c>
      <c r="J54" s="269"/>
      <c r="K54" s="269"/>
    </row>
    <row r="55" spans="1:11">
      <c r="A55" s="280" t="s">
        <v>323</v>
      </c>
      <c r="B55" s="195" t="s">
        <v>342</v>
      </c>
      <c r="C55" s="195" t="s">
        <v>441</v>
      </c>
      <c r="D55" s="195" t="s">
        <v>442</v>
      </c>
      <c r="E55" s="195">
        <v>22</v>
      </c>
      <c r="F55" s="270">
        <v>46076</v>
      </c>
      <c r="G55" s="270">
        <v>46087</v>
      </c>
      <c r="H55" s="269">
        <v>1</v>
      </c>
      <c r="I55" s="269" t="s">
        <v>327</v>
      </c>
      <c r="J55" s="269"/>
      <c r="K55" s="269"/>
    </row>
    <row r="56" spans="1:11" ht="15" customHeight="1">
      <c r="A56" s="280" t="s">
        <v>323</v>
      </c>
      <c r="B56" s="280" t="s">
        <v>704</v>
      </c>
      <c r="C56" s="195" t="s">
        <v>443</v>
      </c>
      <c r="D56" s="195" t="s">
        <v>444</v>
      </c>
      <c r="E56" s="195">
        <v>22</v>
      </c>
      <c r="F56" s="270">
        <v>46076</v>
      </c>
      <c r="G56" s="270">
        <v>46087</v>
      </c>
      <c r="H56" s="269">
        <v>1</v>
      </c>
      <c r="I56" s="269" t="s">
        <v>327</v>
      </c>
      <c r="J56" s="269"/>
      <c r="K56" s="269"/>
    </row>
    <row r="57" spans="1:11">
      <c r="A57" s="280" t="s">
        <v>323</v>
      </c>
      <c r="B57" s="195" t="s">
        <v>342</v>
      </c>
      <c r="C57" s="195" t="s">
        <v>445</v>
      </c>
      <c r="D57" s="195" t="s">
        <v>446</v>
      </c>
      <c r="E57" s="195">
        <v>23</v>
      </c>
      <c r="F57" s="270">
        <v>46090</v>
      </c>
      <c r="G57" s="270">
        <v>46101</v>
      </c>
      <c r="H57" s="269">
        <v>1</v>
      </c>
      <c r="I57" s="269" t="s">
        <v>327</v>
      </c>
      <c r="J57" s="269"/>
      <c r="K57" s="269"/>
    </row>
    <row r="58" spans="1:11">
      <c r="A58" s="280" t="s">
        <v>323</v>
      </c>
      <c r="B58" s="195" t="s">
        <v>342</v>
      </c>
      <c r="C58" s="195" t="s">
        <v>447</v>
      </c>
      <c r="D58" s="195" t="s">
        <v>448</v>
      </c>
      <c r="E58" s="195">
        <v>23</v>
      </c>
      <c r="F58" s="270">
        <v>46090</v>
      </c>
      <c r="G58" s="270">
        <v>46101</v>
      </c>
      <c r="H58" s="269">
        <v>1</v>
      </c>
      <c r="I58" s="269" t="s">
        <v>327</v>
      </c>
      <c r="J58" s="269"/>
      <c r="K58" s="269"/>
    </row>
    <row r="59" spans="1:11">
      <c r="A59" s="280" t="s">
        <v>323</v>
      </c>
      <c r="B59" s="195" t="s">
        <v>342</v>
      </c>
      <c r="C59" s="195" t="s">
        <v>449</v>
      </c>
      <c r="D59" s="195" t="s">
        <v>450</v>
      </c>
      <c r="E59" s="195">
        <v>23</v>
      </c>
      <c r="F59" s="270">
        <v>46090</v>
      </c>
      <c r="G59" s="270">
        <v>46101</v>
      </c>
      <c r="H59" s="269">
        <v>1</v>
      </c>
      <c r="I59" s="269" t="s">
        <v>327</v>
      </c>
      <c r="J59" s="269"/>
      <c r="K59" s="269"/>
    </row>
    <row r="60" spans="1:11">
      <c r="A60" s="280" t="s">
        <v>323</v>
      </c>
      <c r="B60" s="195" t="s">
        <v>342</v>
      </c>
      <c r="C60" s="195" t="s">
        <v>451</v>
      </c>
      <c r="D60" s="195" t="s">
        <v>452</v>
      </c>
      <c r="E60" s="195">
        <v>23</v>
      </c>
      <c r="F60" s="270">
        <v>46090</v>
      </c>
      <c r="G60" s="270">
        <v>46101</v>
      </c>
      <c r="H60" s="269">
        <v>1</v>
      </c>
      <c r="I60" s="269" t="s">
        <v>327</v>
      </c>
      <c r="J60" s="269"/>
      <c r="K60" s="269"/>
    </row>
    <row r="61" spans="1:11">
      <c r="A61" s="280" t="s">
        <v>323</v>
      </c>
      <c r="B61" s="195" t="s">
        <v>342</v>
      </c>
      <c r="C61" s="195" t="s">
        <v>453</v>
      </c>
      <c r="D61" s="195" t="s">
        <v>454</v>
      </c>
      <c r="E61" s="195">
        <v>23</v>
      </c>
      <c r="F61" s="270">
        <v>46090</v>
      </c>
      <c r="G61" s="270">
        <v>46101</v>
      </c>
      <c r="H61" s="269">
        <v>1</v>
      </c>
      <c r="I61" s="269" t="s">
        <v>327</v>
      </c>
      <c r="J61" s="269"/>
      <c r="K61" s="269"/>
    </row>
    <row r="62" spans="1:11">
      <c r="A62" s="280" t="s">
        <v>323</v>
      </c>
      <c r="B62" s="195" t="s">
        <v>342</v>
      </c>
      <c r="C62" s="195" t="s">
        <v>455</v>
      </c>
      <c r="D62" s="195" t="s">
        <v>456</v>
      </c>
      <c r="E62" s="195">
        <v>23</v>
      </c>
      <c r="F62" s="270">
        <v>46090</v>
      </c>
      <c r="G62" s="270">
        <v>46101</v>
      </c>
      <c r="H62" s="269">
        <v>1</v>
      </c>
      <c r="I62" s="269" t="s">
        <v>327</v>
      </c>
      <c r="J62" s="269"/>
      <c r="K62" s="269"/>
    </row>
    <row r="63" spans="1:11" ht="15" customHeight="1">
      <c r="A63" s="280" t="s">
        <v>323</v>
      </c>
      <c r="B63" s="280" t="s">
        <v>704</v>
      </c>
      <c r="C63" s="195" t="s">
        <v>457</v>
      </c>
      <c r="D63" s="195" t="s">
        <v>458</v>
      </c>
      <c r="E63" s="195">
        <v>23</v>
      </c>
      <c r="F63" s="270">
        <v>46090</v>
      </c>
      <c r="G63" s="270">
        <v>46101</v>
      </c>
      <c r="H63" s="269">
        <v>1</v>
      </c>
      <c r="I63" s="269" t="s">
        <v>327</v>
      </c>
      <c r="J63" s="269"/>
      <c r="K63" s="269"/>
    </row>
    <row r="64" spans="1:11">
      <c r="A64" s="280" t="s">
        <v>323</v>
      </c>
      <c r="B64" s="195" t="s">
        <v>342</v>
      </c>
      <c r="C64" s="195" t="s">
        <v>459</v>
      </c>
      <c r="D64" s="195" t="s">
        <v>460</v>
      </c>
      <c r="E64" s="195">
        <v>24</v>
      </c>
      <c r="F64" s="270">
        <v>46104</v>
      </c>
      <c r="G64" s="270">
        <v>46115</v>
      </c>
      <c r="H64" s="269">
        <v>1</v>
      </c>
      <c r="I64" s="269" t="s">
        <v>327</v>
      </c>
      <c r="J64" s="269"/>
      <c r="K64" s="269"/>
    </row>
    <row r="65" spans="1:11">
      <c r="A65" s="280" t="s">
        <v>323</v>
      </c>
      <c r="B65" s="195" t="s">
        <v>342</v>
      </c>
      <c r="C65" s="195" t="s">
        <v>461</v>
      </c>
      <c r="D65" s="195" t="s">
        <v>462</v>
      </c>
      <c r="E65" s="195">
        <v>24</v>
      </c>
      <c r="F65" s="270">
        <v>46104</v>
      </c>
      <c r="G65" s="270">
        <v>46115</v>
      </c>
      <c r="H65" s="269">
        <v>1</v>
      </c>
      <c r="I65" s="269" t="s">
        <v>327</v>
      </c>
      <c r="J65" s="269"/>
      <c r="K65" s="269"/>
    </row>
    <row r="66" spans="1:11">
      <c r="A66" s="280" t="s">
        <v>323</v>
      </c>
      <c r="B66" s="195" t="s">
        <v>342</v>
      </c>
      <c r="C66" s="195" t="s">
        <v>463</v>
      </c>
      <c r="D66" s="195" t="s">
        <v>464</v>
      </c>
      <c r="E66" s="195">
        <v>24</v>
      </c>
      <c r="F66" s="270">
        <v>46104</v>
      </c>
      <c r="G66" s="270">
        <v>46115</v>
      </c>
      <c r="H66" s="269">
        <v>1</v>
      </c>
      <c r="I66" s="269" t="s">
        <v>327</v>
      </c>
      <c r="J66" s="269"/>
      <c r="K66" s="269"/>
    </row>
    <row r="67" spans="1:11">
      <c r="A67" s="280" t="s">
        <v>323</v>
      </c>
      <c r="B67" s="195" t="s">
        <v>342</v>
      </c>
      <c r="C67" s="195" t="s">
        <v>465</v>
      </c>
      <c r="D67" s="195" t="s">
        <v>466</v>
      </c>
      <c r="E67" s="195">
        <v>24</v>
      </c>
      <c r="F67" s="270">
        <v>46104</v>
      </c>
      <c r="G67" s="270">
        <v>46115</v>
      </c>
      <c r="H67" s="269">
        <v>1</v>
      </c>
      <c r="I67" s="269" t="s">
        <v>327</v>
      </c>
      <c r="J67" s="269"/>
      <c r="K67" s="269"/>
    </row>
    <row r="68" spans="1:11">
      <c r="A68" s="280" t="s">
        <v>323</v>
      </c>
      <c r="B68" s="195" t="s">
        <v>342</v>
      </c>
      <c r="C68" s="195" t="s">
        <v>467</v>
      </c>
      <c r="D68" s="195" t="s">
        <v>468</v>
      </c>
      <c r="E68" s="195">
        <v>24</v>
      </c>
      <c r="F68" s="270">
        <v>46104</v>
      </c>
      <c r="G68" s="270">
        <v>46115</v>
      </c>
      <c r="H68" s="269">
        <v>1</v>
      </c>
      <c r="I68" s="269" t="s">
        <v>327</v>
      </c>
      <c r="J68" s="269"/>
      <c r="K68" s="269"/>
    </row>
    <row r="69" spans="1:11">
      <c r="A69" s="280" t="s">
        <v>323</v>
      </c>
      <c r="B69" s="195" t="s">
        <v>342</v>
      </c>
      <c r="C69" s="195" t="s">
        <v>469</v>
      </c>
      <c r="D69" s="195" t="s">
        <v>470</v>
      </c>
      <c r="E69" s="195">
        <v>24</v>
      </c>
      <c r="F69" s="270">
        <v>46104</v>
      </c>
      <c r="G69" s="270">
        <v>46115</v>
      </c>
      <c r="H69" s="269">
        <v>1</v>
      </c>
      <c r="I69" s="269" t="s">
        <v>327</v>
      </c>
      <c r="J69" s="269"/>
      <c r="K69" s="269"/>
    </row>
    <row r="70" spans="1:11">
      <c r="A70" s="280" t="s">
        <v>323</v>
      </c>
      <c r="B70" s="195" t="s">
        <v>342</v>
      </c>
      <c r="C70" s="195" t="s">
        <v>471</v>
      </c>
      <c r="D70" s="195" t="s">
        <v>472</v>
      </c>
      <c r="E70" s="195">
        <v>24</v>
      </c>
      <c r="F70" s="270">
        <v>46104</v>
      </c>
      <c r="G70" s="270">
        <v>46115</v>
      </c>
      <c r="H70" s="269">
        <v>1</v>
      </c>
      <c r="I70" s="269" t="s">
        <v>327</v>
      </c>
      <c r="J70" s="269"/>
      <c r="K70" s="269"/>
    </row>
    <row r="71" spans="1:11">
      <c r="A71" s="280" t="s">
        <v>323</v>
      </c>
      <c r="B71" s="195" t="s">
        <v>342</v>
      </c>
      <c r="C71" s="195" t="s">
        <v>473</v>
      </c>
      <c r="D71" s="195" t="s">
        <v>474</v>
      </c>
      <c r="E71" s="195">
        <v>24</v>
      </c>
      <c r="F71" s="270">
        <v>46104</v>
      </c>
      <c r="G71" s="270">
        <v>46115</v>
      </c>
      <c r="H71" s="269">
        <v>1</v>
      </c>
      <c r="I71" s="269" t="s">
        <v>327</v>
      </c>
      <c r="J71" s="269"/>
      <c r="K71" s="269"/>
    </row>
    <row r="72" spans="1:11">
      <c r="A72" s="280" t="s">
        <v>323</v>
      </c>
      <c r="B72" s="195" t="s">
        <v>701</v>
      </c>
      <c r="C72" s="195" t="s">
        <v>475</v>
      </c>
      <c r="D72" s="195" t="s">
        <v>476</v>
      </c>
      <c r="E72" s="195">
        <v>24</v>
      </c>
      <c r="F72" s="270">
        <v>46104</v>
      </c>
      <c r="G72" s="270">
        <v>46115</v>
      </c>
      <c r="H72" s="269">
        <v>1</v>
      </c>
      <c r="I72" s="269" t="s">
        <v>327</v>
      </c>
      <c r="J72" s="269"/>
      <c r="K72" s="269"/>
    </row>
    <row r="73" spans="1:11">
      <c r="A73" s="280" t="s">
        <v>323</v>
      </c>
      <c r="B73" s="195" t="s">
        <v>710</v>
      </c>
      <c r="C73" s="195" t="s">
        <v>477</v>
      </c>
      <c r="D73" s="195" t="s">
        <v>478</v>
      </c>
      <c r="E73" s="195">
        <v>24</v>
      </c>
      <c r="F73" s="270">
        <v>46104</v>
      </c>
      <c r="G73" s="270">
        <v>46115</v>
      </c>
      <c r="H73" s="269">
        <v>1</v>
      </c>
      <c r="I73" s="269" t="s">
        <v>327</v>
      </c>
      <c r="J73" s="269"/>
      <c r="K73" s="269"/>
    </row>
    <row r="74" spans="1:11">
      <c r="A74" s="280" t="s">
        <v>338</v>
      </c>
      <c r="B74" s="195" t="s">
        <v>169</v>
      </c>
      <c r="C74" s="195" t="s">
        <v>479</v>
      </c>
      <c r="D74" s="195" t="s">
        <v>480</v>
      </c>
      <c r="E74" s="195">
        <v>24</v>
      </c>
      <c r="F74" s="270">
        <v>46104</v>
      </c>
      <c r="G74" s="270">
        <v>46115</v>
      </c>
      <c r="H74" s="269">
        <v>1</v>
      </c>
      <c r="I74" s="269" t="s">
        <v>327</v>
      </c>
      <c r="J74" s="269"/>
      <c r="K74" s="255" t="s">
        <v>338</v>
      </c>
    </row>
    <row r="75" spans="1:11" ht="15" customHeight="1">
      <c r="A75" s="195" t="s">
        <v>709</v>
      </c>
      <c r="B75" s="195" t="s">
        <v>709</v>
      </c>
      <c r="C75" s="195" t="s">
        <v>481</v>
      </c>
      <c r="D75" s="195" t="s">
        <v>482</v>
      </c>
      <c r="E75" s="195">
        <v>25</v>
      </c>
      <c r="F75" s="270">
        <v>46118</v>
      </c>
      <c r="G75" s="270">
        <v>46129</v>
      </c>
      <c r="H75" s="269">
        <v>1</v>
      </c>
      <c r="I75" s="269" t="s">
        <v>327</v>
      </c>
      <c r="J75" s="269"/>
    </row>
    <row r="76" spans="1:11" ht="15" customHeight="1">
      <c r="A76" s="195" t="s">
        <v>709</v>
      </c>
      <c r="B76" s="195" t="s">
        <v>342</v>
      </c>
      <c r="C76" s="195" t="s">
        <v>483</v>
      </c>
      <c r="D76" s="195" t="s">
        <v>484</v>
      </c>
      <c r="E76" s="195">
        <v>25</v>
      </c>
      <c r="F76" s="270">
        <v>46118</v>
      </c>
      <c r="G76" s="270">
        <v>46129</v>
      </c>
      <c r="H76" s="269">
        <v>1</v>
      </c>
      <c r="I76" s="269" t="s">
        <v>327</v>
      </c>
      <c r="J76" s="269"/>
    </row>
    <row r="77" spans="1:11" ht="15" customHeight="1">
      <c r="A77" s="280" t="s">
        <v>323</v>
      </c>
      <c r="B77" s="280" t="s">
        <v>704</v>
      </c>
      <c r="C77" s="195" t="s">
        <v>485</v>
      </c>
      <c r="D77" s="195" t="s">
        <v>486</v>
      </c>
      <c r="E77" s="195">
        <v>25</v>
      </c>
      <c r="F77" s="270">
        <v>46118</v>
      </c>
      <c r="G77" s="270">
        <v>46129</v>
      </c>
      <c r="H77" s="269">
        <v>1</v>
      </c>
      <c r="I77" s="269" t="s">
        <v>327</v>
      </c>
      <c r="J77" s="269"/>
    </row>
    <row r="78" spans="1:11">
      <c r="A78" s="280" t="s">
        <v>338</v>
      </c>
      <c r="B78" s="195" t="s">
        <v>169</v>
      </c>
      <c r="C78" s="195" t="s">
        <v>487</v>
      </c>
      <c r="D78" s="195" t="s">
        <v>488</v>
      </c>
      <c r="E78" s="195">
        <v>25</v>
      </c>
      <c r="F78" s="270">
        <v>46118</v>
      </c>
      <c r="G78" s="270">
        <v>46129</v>
      </c>
      <c r="H78" s="269">
        <v>1</v>
      </c>
      <c r="I78" s="269" t="s">
        <v>327</v>
      </c>
      <c r="J78" s="269"/>
      <c r="K78" s="255" t="s">
        <v>338</v>
      </c>
    </row>
    <row r="79" spans="1:11">
      <c r="A79" s="280" t="s">
        <v>323</v>
      </c>
      <c r="B79" s="195" t="s">
        <v>699</v>
      </c>
      <c r="C79" s="195" t="s">
        <v>489</v>
      </c>
      <c r="D79" s="195" t="s">
        <v>490</v>
      </c>
      <c r="E79" s="195">
        <v>25</v>
      </c>
      <c r="F79" s="270">
        <v>46118</v>
      </c>
      <c r="G79" s="270">
        <v>46129</v>
      </c>
      <c r="H79" s="269">
        <v>1</v>
      </c>
      <c r="I79" s="269" t="s">
        <v>327</v>
      </c>
      <c r="J79" s="269"/>
      <c r="K79" s="269"/>
    </row>
    <row r="80" spans="1:11">
      <c r="A80" s="280" t="s">
        <v>323</v>
      </c>
      <c r="B80" s="195" t="s">
        <v>711</v>
      </c>
      <c r="C80" s="195" t="s">
        <v>491</v>
      </c>
      <c r="D80" s="195" t="s">
        <v>492</v>
      </c>
      <c r="E80" s="195">
        <v>26</v>
      </c>
      <c r="F80" s="270">
        <v>46132</v>
      </c>
      <c r="G80" s="270">
        <v>46143</v>
      </c>
      <c r="H80" s="269">
        <v>1</v>
      </c>
      <c r="I80" s="269" t="s">
        <v>327</v>
      </c>
      <c r="J80" s="269"/>
      <c r="K80" s="269"/>
    </row>
    <row r="81" spans="1:11" ht="15" customHeight="1">
      <c r="A81" s="195" t="s">
        <v>709</v>
      </c>
      <c r="B81" s="195" t="s">
        <v>342</v>
      </c>
      <c r="C81" s="195" t="s">
        <v>493</v>
      </c>
      <c r="D81" s="195" t="s">
        <v>494</v>
      </c>
      <c r="E81" s="195">
        <v>26</v>
      </c>
      <c r="F81" s="270">
        <v>46132</v>
      </c>
      <c r="G81" s="270">
        <v>46143</v>
      </c>
      <c r="H81" s="269">
        <v>1</v>
      </c>
      <c r="I81" s="269" t="s">
        <v>327</v>
      </c>
      <c r="J81" s="269"/>
      <c r="K81" s="269"/>
    </row>
    <row r="82" spans="1:11">
      <c r="A82" s="280" t="s">
        <v>323</v>
      </c>
      <c r="B82" s="195" t="s">
        <v>342</v>
      </c>
      <c r="C82" s="195" t="s">
        <v>495</v>
      </c>
      <c r="D82" s="195" t="s">
        <v>496</v>
      </c>
      <c r="E82" s="195">
        <v>26</v>
      </c>
      <c r="F82" s="270">
        <v>46132</v>
      </c>
      <c r="G82" s="270">
        <v>46143</v>
      </c>
      <c r="H82" s="269">
        <v>1</v>
      </c>
      <c r="I82" s="269" t="s">
        <v>327</v>
      </c>
      <c r="J82" s="269"/>
      <c r="K82" s="269"/>
    </row>
    <row r="83" spans="1:11">
      <c r="A83" s="280" t="s">
        <v>323</v>
      </c>
      <c r="B83" s="195" t="s">
        <v>342</v>
      </c>
      <c r="C83" s="195" t="s">
        <v>497</v>
      </c>
      <c r="D83" s="195" t="s">
        <v>498</v>
      </c>
      <c r="E83" s="195">
        <v>26</v>
      </c>
      <c r="F83" s="270">
        <v>46132</v>
      </c>
      <c r="G83" s="270">
        <v>46143</v>
      </c>
      <c r="H83" s="269">
        <v>1</v>
      </c>
      <c r="I83" s="269" t="s">
        <v>327</v>
      </c>
      <c r="J83" s="269"/>
      <c r="K83" s="269"/>
    </row>
    <row r="84" spans="1:11">
      <c r="A84" s="280" t="s">
        <v>323</v>
      </c>
      <c r="B84" s="195" t="s">
        <v>710</v>
      </c>
      <c r="C84" s="195" t="s">
        <v>477</v>
      </c>
      <c r="D84" s="195" t="s">
        <v>478</v>
      </c>
      <c r="E84" s="195">
        <v>26</v>
      </c>
      <c r="F84" s="270">
        <v>46132</v>
      </c>
      <c r="G84" s="270">
        <v>46143</v>
      </c>
      <c r="H84" s="269">
        <v>1</v>
      </c>
      <c r="I84" s="269" t="s">
        <v>327</v>
      </c>
      <c r="J84" s="269"/>
      <c r="K84" s="269"/>
    </row>
    <row r="85" spans="1:11">
      <c r="A85" s="280" t="s">
        <v>323</v>
      </c>
      <c r="B85" s="195" t="s">
        <v>342</v>
      </c>
      <c r="C85" s="195" t="s">
        <v>499</v>
      </c>
      <c r="D85" s="195" t="s">
        <v>500</v>
      </c>
      <c r="E85" s="195">
        <v>26</v>
      </c>
      <c r="F85" s="270">
        <v>46132</v>
      </c>
      <c r="G85" s="270">
        <v>46143</v>
      </c>
      <c r="H85" s="269">
        <v>1</v>
      </c>
      <c r="I85" s="269" t="s">
        <v>327</v>
      </c>
      <c r="J85" s="269"/>
      <c r="K85" s="269"/>
    </row>
    <row r="86" spans="1:11">
      <c r="A86" s="280" t="s">
        <v>323</v>
      </c>
      <c r="B86" s="195" t="s">
        <v>342</v>
      </c>
      <c r="C86" s="195" t="s">
        <v>499</v>
      </c>
      <c r="D86" s="195" t="s">
        <v>500</v>
      </c>
      <c r="E86" s="195">
        <v>27</v>
      </c>
      <c r="F86" s="270">
        <v>46146</v>
      </c>
      <c r="G86" s="270">
        <v>46157</v>
      </c>
      <c r="H86" s="269">
        <v>1</v>
      </c>
      <c r="I86" s="269" t="s">
        <v>327</v>
      </c>
      <c r="J86" s="269"/>
      <c r="K86" s="269"/>
    </row>
    <row r="87" spans="1:11">
      <c r="A87" s="280" t="s">
        <v>323</v>
      </c>
      <c r="B87" s="195" t="s">
        <v>712</v>
      </c>
      <c r="C87" s="195" t="s">
        <v>501</v>
      </c>
      <c r="D87" s="195" t="s">
        <v>502</v>
      </c>
      <c r="E87" s="195">
        <v>27</v>
      </c>
      <c r="F87" s="270">
        <v>46146</v>
      </c>
      <c r="G87" s="270">
        <v>46157</v>
      </c>
      <c r="H87" s="269">
        <v>1</v>
      </c>
      <c r="I87" s="269" t="s">
        <v>327</v>
      </c>
      <c r="J87" s="269"/>
      <c r="K87" s="269"/>
    </row>
    <row r="88" spans="1:11">
      <c r="A88" s="280" t="s">
        <v>323</v>
      </c>
      <c r="B88" s="195" t="s">
        <v>712</v>
      </c>
      <c r="C88" s="195" t="s">
        <v>503</v>
      </c>
      <c r="D88" s="195" t="s">
        <v>504</v>
      </c>
      <c r="E88" s="195">
        <v>27</v>
      </c>
      <c r="F88" s="270">
        <v>46146</v>
      </c>
      <c r="G88" s="270">
        <v>46157</v>
      </c>
      <c r="H88" s="269">
        <v>1</v>
      </c>
      <c r="I88" s="269" t="s">
        <v>327</v>
      </c>
      <c r="J88" s="269"/>
      <c r="K88" s="269"/>
    </row>
    <row r="89" spans="1:11">
      <c r="A89" s="280" t="s">
        <v>323</v>
      </c>
      <c r="B89" s="195" t="s">
        <v>712</v>
      </c>
      <c r="C89" s="195" t="s">
        <v>505</v>
      </c>
      <c r="D89" s="195" t="s">
        <v>506</v>
      </c>
      <c r="E89" s="195">
        <v>27</v>
      </c>
      <c r="F89" s="270">
        <v>46146</v>
      </c>
      <c r="G89" s="270">
        <v>46157</v>
      </c>
      <c r="H89" s="269">
        <v>1</v>
      </c>
      <c r="I89" s="269" t="s">
        <v>327</v>
      </c>
      <c r="J89" s="269"/>
      <c r="K89" s="269"/>
    </row>
    <row r="90" spans="1:11">
      <c r="A90" s="280" t="s">
        <v>323</v>
      </c>
      <c r="B90" s="195" t="s">
        <v>712</v>
      </c>
      <c r="C90" s="195" t="s">
        <v>507</v>
      </c>
      <c r="D90" s="195" t="s">
        <v>508</v>
      </c>
      <c r="E90" s="195">
        <v>27</v>
      </c>
      <c r="F90" s="270">
        <v>46146</v>
      </c>
      <c r="G90" s="270">
        <v>46157</v>
      </c>
      <c r="H90" s="269">
        <v>1</v>
      </c>
      <c r="I90" s="269" t="s">
        <v>327</v>
      </c>
      <c r="J90" s="269"/>
      <c r="K90" s="269"/>
    </row>
    <row r="91" spans="1:11">
      <c r="A91" s="195" t="s">
        <v>338</v>
      </c>
      <c r="B91" s="195" t="s">
        <v>169</v>
      </c>
      <c r="C91" s="195" t="s">
        <v>509</v>
      </c>
      <c r="D91" s="195" t="s">
        <v>510</v>
      </c>
      <c r="E91" s="195">
        <v>27</v>
      </c>
      <c r="F91" s="270">
        <v>46146</v>
      </c>
      <c r="G91" s="270">
        <v>46157</v>
      </c>
      <c r="H91" s="269">
        <v>1</v>
      </c>
      <c r="I91" s="269" t="s">
        <v>327</v>
      </c>
      <c r="J91" s="269"/>
      <c r="K91" s="269"/>
    </row>
    <row r="92" spans="1:11">
      <c r="A92" s="195" t="s">
        <v>338</v>
      </c>
      <c r="B92" s="195" t="s">
        <v>169</v>
      </c>
      <c r="C92" s="195" t="s">
        <v>511</v>
      </c>
      <c r="D92" s="195" t="s">
        <v>512</v>
      </c>
      <c r="E92" s="195">
        <v>27</v>
      </c>
      <c r="F92" s="270">
        <v>46146</v>
      </c>
      <c r="G92" s="270">
        <v>46157</v>
      </c>
      <c r="H92" s="269">
        <v>1</v>
      </c>
      <c r="I92" s="269" t="s">
        <v>327</v>
      </c>
      <c r="J92" s="269"/>
      <c r="K92" s="269"/>
    </row>
    <row r="93" spans="1:11">
      <c r="A93" s="195" t="s">
        <v>338</v>
      </c>
      <c r="B93" s="195" t="s">
        <v>169</v>
      </c>
      <c r="C93" s="195" t="s">
        <v>513</v>
      </c>
      <c r="D93" s="195" t="s">
        <v>514</v>
      </c>
      <c r="E93" s="195">
        <v>27</v>
      </c>
      <c r="F93" s="270">
        <v>46146</v>
      </c>
      <c r="G93" s="270">
        <v>46157</v>
      </c>
      <c r="H93" s="269">
        <v>1</v>
      </c>
      <c r="I93" s="269" t="s">
        <v>327</v>
      </c>
      <c r="J93" s="269"/>
      <c r="K93" s="269"/>
    </row>
    <row r="94" spans="1:11">
      <c r="A94" s="195" t="s">
        <v>338</v>
      </c>
      <c r="B94" s="195" t="s">
        <v>169</v>
      </c>
      <c r="C94" s="195" t="s">
        <v>515</v>
      </c>
      <c r="D94" s="195" t="s">
        <v>516</v>
      </c>
      <c r="E94" s="195">
        <v>27</v>
      </c>
      <c r="F94" s="270">
        <v>46146</v>
      </c>
      <c r="G94" s="270">
        <v>46157</v>
      </c>
      <c r="H94" s="269">
        <v>1</v>
      </c>
      <c r="I94" s="269" t="s">
        <v>327</v>
      </c>
      <c r="J94" s="269"/>
      <c r="K94" s="269"/>
    </row>
    <row r="95" spans="1:11" ht="15" customHeight="1">
      <c r="A95" s="280" t="s">
        <v>323</v>
      </c>
      <c r="B95" s="195" t="s">
        <v>323</v>
      </c>
      <c r="C95" s="195" t="s">
        <v>517</v>
      </c>
      <c r="D95" s="195" t="s">
        <v>518</v>
      </c>
      <c r="E95" s="195">
        <v>27</v>
      </c>
      <c r="F95" s="270">
        <v>46146</v>
      </c>
      <c r="G95" s="270">
        <v>46157</v>
      </c>
      <c r="H95" s="269">
        <v>1</v>
      </c>
      <c r="I95" s="269" t="s">
        <v>327</v>
      </c>
      <c r="J95" s="269"/>
      <c r="K95" s="269"/>
    </row>
    <row r="96" spans="1:11" ht="15" customHeight="1">
      <c r="A96" s="280" t="s">
        <v>323</v>
      </c>
      <c r="B96" s="195" t="s">
        <v>323</v>
      </c>
      <c r="C96" s="195" t="s">
        <v>519</v>
      </c>
      <c r="D96" s="195" t="s">
        <v>520</v>
      </c>
      <c r="E96" s="195">
        <v>28</v>
      </c>
      <c r="F96" s="270">
        <v>46160</v>
      </c>
      <c r="G96" s="270">
        <v>46171</v>
      </c>
      <c r="H96" s="269">
        <v>1</v>
      </c>
      <c r="I96" s="269" t="s">
        <v>327</v>
      </c>
      <c r="J96" s="255" t="s">
        <v>521</v>
      </c>
      <c r="K96" s="255" t="s">
        <v>522</v>
      </c>
    </row>
    <row r="97" spans="1:11">
      <c r="A97" s="195" t="s">
        <v>709</v>
      </c>
      <c r="B97" s="195" t="s">
        <v>342</v>
      </c>
      <c r="C97" s="195" t="s">
        <v>523</v>
      </c>
      <c r="D97" s="195" t="s">
        <v>524</v>
      </c>
      <c r="E97" s="195">
        <v>27</v>
      </c>
      <c r="F97" s="270">
        <v>46146</v>
      </c>
      <c r="G97" s="270">
        <v>46157</v>
      </c>
      <c r="H97" s="269">
        <v>1</v>
      </c>
      <c r="I97" s="269" t="s">
        <v>327</v>
      </c>
    </row>
    <row r="98" spans="1:11">
      <c r="A98" s="195" t="s">
        <v>709</v>
      </c>
      <c r="B98" s="195" t="s">
        <v>342</v>
      </c>
      <c r="C98" s="195" t="s">
        <v>525</v>
      </c>
      <c r="D98" s="195" t="s">
        <v>526</v>
      </c>
      <c r="E98" s="195">
        <v>28</v>
      </c>
      <c r="F98" s="270">
        <v>46160</v>
      </c>
      <c r="G98" s="270">
        <v>46171</v>
      </c>
      <c r="H98" s="269">
        <v>1</v>
      </c>
      <c r="I98" s="269" t="s">
        <v>327</v>
      </c>
      <c r="J98" s="255" t="s">
        <v>521</v>
      </c>
      <c r="K98" s="255" t="s">
        <v>522</v>
      </c>
    </row>
    <row r="99" spans="1:11">
      <c r="A99" s="195" t="s">
        <v>338</v>
      </c>
      <c r="B99" s="195" t="s">
        <v>169</v>
      </c>
      <c r="C99" s="195" t="s">
        <v>527</v>
      </c>
      <c r="D99" s="195" t="s">
        <v>528</v>
      </c>
      <c r="E99" s="195">
        <v>28</v>
      </c>
      <c r="F99" s="270">
        <v>46160</v>
      </c>
      <c r="G99" s="270">
        <v>46171</v>
      </c>
      <c r="H99" s="269">
        <v>1</v>
      </c>
      <c r="I99" s="269" t="s">
        <v>327</v>
      </c>
    </row>
    <row r="100" spans="1:11">
      <c r="A100" s="195" t="s">
        <v>338</v>
      </c>
      <c r="B100" s="195" t="s">
        <v>169</v>
      </c>
      <c r="C100" s="195" t="s">
        <v>529</v>
      </c>
      <c r="D100" s="195" t="s">
        <v>530</v>
      </c>
      <c r="E100" s="195">
        <v>28</v>
      </c>
      <c r="F100" s="270">
        <v>46160</v>
      </c>
      <c r="G100" s="270">
        <v>46171</v>
      </c>
      <c r="H100" s="269">
        <v>1</v>
      </c>
      <c r="I100" s="269" t="s">
        <v>327</v>
      </c>
    </row>
    <row r="101" spans="1:11">
      <c r="A101" s="195" t="s">
        <v>338</v>
      </c>
      <c r="B101" s="195" t="s">
        <v>169</v>
      </c>
      <c r="C101" s="195" t="s">
        <v>531</v>
      </c>
      <c r="D101" s="195" t="s">
        <v>532</v>
      </c>
      <c r="E101" s="195">
        <v>28</v>
      </c>
      <c r="F101" s="270">
        <v>46160</v>
      </c>
      <c r="G101" s="270">
        <v>46171</v>
      </c>
      <c r="H101" s="269">
        <v>1</v>
      </c>
      <c r="I101" s="269" t="s">
        <v>327</v>
      </c>
    </row>
    <row r="102" spans="1:11">
      <c r="A102" s="195" t="s">
        <v>338</v>
      </c>
      <c r="B102" s="195" t="s">
        <v>169</v>
      </c>
      <c r="C102" s="195" t="s">
        <v>533</v>
      </c>
      <c r="D102" s="195" t="s">
        <v>534</v>
      </c>
      <c r="E102" s="195">
        <v>29</v>
      </c>
      <c r="F102" s="270">
        <v>46174</v>
      </c>
      <c r="G102" s="270">
        <v>46185</v>
      </c>
      <c r="H102" s="269">
        <v>1</v>
      </c>
      <c r="I102" s="269" t="s">
        <v>327</v>
      </c>
      <c r="J102" s="255" t="s">
        <v>521</v>
      </c>
      <c r="K102" s="255" t="s">
        <v>535</v>
      </c>
    </row>
    <row r="103" spans="1:11" ht="15" customHeight="1">
      <c r="A103" s="280" t="s">
        <v>323</v>
      </c>
      <c r="B103" s="195" t="s">
        <v>342</v>
      </c>
      <c r="C103" s="195" t="s">
        <v>536</v>
      </c>
      <c r="D103" s="279" t="s">
        <v>537</v>
      </c>
      <c r="E103" s="195">
        <v>28</v>
      </c>
      <c r="F103" s="270">
        <v>46160</v>
      </c>
      <c r="G103" s="270">
        <v>46171</v>
      </c>
      <c r="H103" s="269">
        <v>1</v>
      </c>
      <c r="I103" s="269"/>
      <c r="J103" s="255" t="s">
        <v>538</v>
      </c>
      <c r="K103" s="255" t="s">
        <v>539</v>
      </c>
    </row>
    <row r="104" spans="1:11" ht="15" customHeight="1">
      <c r="A104" s="280" t="s">
        <v>323</v>
      </c>
      <c r="B104" s="195" t="s">
        <v>342</v>
      </c>
      <c r="C104" s="195" t="s">
        <v>540</v>
      </c>
      <c r="D104" s="279" t="s">
        <v>541</v>
      </c>
      <c r="E104" s="195">
        <v>28</v>
      </c>
      <c r="F104" s="270">
        <v>46160</v>
      </c>
      <c r="G104" s="270">
        <v>46171</v>
      </c>
      <c r="H104" s="269">
        <v>1</v>
      </c>
      <c r="I104" s="269"/>
      <c r="J104" s="255" t="s">
        <v>538</v>
      </c>
      <c r="K104" s="255" t="s">
        <v>539</v>
      </c>
    </row>
    <row r="105" spans="1:11" ht="15" customHeight="1">
      <c r="A105" s="280" t="s">
        <v>323</v>
      </c>
      <c r="B105" s="280" t="s">
        <v>706</v>
      </c>
      <c r="C105" s="195" t="s">
        <v>542</v>
      </c>
      <c r="D105" s="195" t="s">
        <v>543</v>
      </c>
      <c r="E105" s="195">
        <v>28</v>
      </c>
      <c r="F105" s="270">
        <v>46160</v>
      </c>
      <c r="G105" s="270">
        <v>46171</v>
      </c>
      <c r="H105" s="269">
        <v>1</v>
      </c>
      <c r="I105" s="269" t="s">
        <v>327</v>
      </c>
    </row>
    <row r="106" spans="1:11" ht="15" customHeight="1">
      <c r="A106" s="280" t="s">
        <v>323</v>
      </c>
      <c r="B106" s="195" t="s">
        <v>699</v>
      </c>
      <c r="C106" s="195" t="s">
        <v>544</v>
      </c>
      <c r="D106" s="195" t="s">
        <v>545</v>
      </c>
      <c r="E106" s="195">
        <v>28</v>
      </c>
      <c r="F106" s="270">
        <v>46160</v>
      </c>
      <c r="G106" s="270">
        <v>46171</v>
      </c>
      <c r="H106" s="269">
        <v>1</v>
      </c>
      <c r="I106" s="269" t="s">
        <v>327</v>
      </c>
    </row>
    <row r="107" spans="1:11" s="276" customFormat="1">
      <c r="A107" s="276" t="s">
        <v>338</v>
      </c>
      <c r="B107" s="276" t="s">
        <v>169</v>
      </c>
      <c r="D107" s="276" t="s">
        <v>546</v>
      </c>
      <c r="E107" s="276">
        <v>28</v>
      </c>
      <c r="F107" s="278">
        <v>46160</v>
      </c>
      <c r="G107" s="278">
        <v>46171</v>
      </c>
      <c r="H107" s="277">
        <v>1</v>
      </c>
      <c r="I107" s="277" t="s">
        <v>327</v>
      </c>
      <c r="J107" s="276" t="s">
        <v>547</v>
      </c>
      <c r="K107" s="276" t="s">
        <v>548</v>
      </c>
    </row>
    <row r="108" spans="1:11">
      <c r="A108" s="195" t="s">
        <v>323</v>
      </c>
      <c r="B108" s="195" t="s">
        <v>349</v>
      </c>
      <c r="C108" s="195" t="s">
        <v>549</v>
      </c>
      <c r="D108" s="195" t="s">
        <v>550</v>
      </c>
      <c r="E108" s="195">
        <v>29</v>
      </c>
      <c r="F108" s="270">
        <v>46174</v>
      </c>
      <c r="G108" s="270">
        <v>46185</v>
      </c>
      <c r="H108" s="269">
        <v>1</v>
      </c>
      <c r="I108" s="269" t="s">
        <v>327</v>
      </c>
    </row>
    <row r="109" spans="1:11">
      <c r="A109" s="195" t="s">
        <v>338</v>
      </c>
      <c r="B109" s="195" t="s">
        <v>169</v>
      </c>
      <c r="C109" s="195" t="s">
        <v>551</v>
      </c>
      <c r="D109" s="195" t="s">
        <v>552</v>
      </c>
      <c r="E109" s="195">
        <v>29</v>
      </c>
      <c r="F109" s="270">
        <v>46174</v>
      </c>
      <c r="G109" s="270">
        <v>46185</v>
      </c>
      <c r="H109" s="269">
        <v>1</v>
      </c>
      <c r="I109" s="269" t="s">
        <v>327</v>
      </c>
      <c r="J109" s="255" t="s">
        <v>521</v>
      </c>
      <c r="K109" s="255" t="s">
        <v>535</v>
      </c>
    </row>
    <row r="110" spans="1:11">
      <c r="A110" s="195" t="s">
        <v>338</v>
      </c>
      <c r="B110" s="195" t="s">
        <v>169</v>
      </c>
      <c r="C110" s="195" t="s">
        <v>553</v>
      </c>
      <c r="D110" s="195" t="s">
        <v>554</v>
      </c>
      <c r="E110" s="195">
        <v>29</v>
      </c>
      <c r="F110" s="270">
        <v>46174</v>
      </c>
      <c r="G110" s="270">
        <v>46185</v>
      </c>
      <c r="H110" s="269">
        <v>1</v>
      </c>
      <c r="I110" s="269" t="s">
        <v>327</v>
      </c>
      <c r="J110" s="269"/>
      <c r="K110" s="269"/>
    </row>
    <row r="111" spans="1:11">
      <c r="A111" s="195" t="s">
        <v>338</v>
      </c>
      <c r="B111" s="195" t="s">
        <v>169</v>
      </c>
      <c r="C111" s="195" t="s">
        <v>555</v>
      </c>
      <c r="D111" s="195" t="s">
        <v>556</v>
      </c>
      <c r="E111" s="195">
        <v>29</v>
      </c>
      <c r="F111" s="270">
        <v>46174</v>
      </c>
      <c r="G111" s="270">
        <v>46185</v>
      </c>
      <c r="H111" s="269">
        <v>1</v>
      </c>
      <c r="I111" s="269" t="s">
        <v>327</v>
      </c>
      <c r="J111" s="269"/>
      <c r="K111" s="269"/>
    </row>
    <row r="112" spans="1:11">
      <c r="A112" s="195" t="s">
        <v>338</v>
      </c>
      <c r="B112" s="195" t="s">
        <v>169</v>
      </c>
      <c r="C112" s="195" t="s">
        <v>557</v>
      </c>
      <c r="D112" s="195" t="s">
        <v>558</v>
      </c>
      <c r="E112" s="195">
        <v>29</v>
      </c>
      <c r="F112" s="270">
        <v>46174</v>
      </c>
      <c r="G112" s="270">
        <v>46185</v>
      </c>
      <c r="H112" s="269">
        <v>1</v>
      </c>
      <c r="I112" s="269" t="s">
        <v>327</v>
      </c>
      <c r="J112" s="269"/>
      <c r="K112" s="269"/>
    </row>
    <row r="113" spans="1:11">
      <c r="A113" s="195" t="s">
        <v>338</v>
      </c>
      <c r="B113" s="195" t="s">
        <v>169</v>
      </c>
      <c r="C113" s="195" t="s">
        <v>555</v>
      </c>
      <c r="D113" s="195" t="s">
        <v>559</v>
      </c>
      <c r="E113" s="195">
        <v>29</v>
      </c>
      <c r="F113" s="270">
        <v>46174</v>
      </c>
      <c r="G113" s="270">
        <v>46185</v>
      </c>
      <c r="H113" s="269">
        <v>1</v>
      </c>
      <c r="I113" s="269" t="s">
        <v>327</v>
      </c>
      <c r="J113" s="255" t="s">
        <v>560</v>
      </c>
      <c r="K113" s="255" t="s">
        <v>561</v>
      </c>
    </row>
    <row r="114" spans="1:11">
      <c r="A114" s="195" t="s">
        <v>338</v>
      </c>
      <c r="B114" s="195" t="s">
        <v>169</v>
      </c>
      <c r="C114" s="195" t="s">
        <v>562</v>
      </c>
      <c r="D114" s="195" t="s">
        <v>563</v>
      </c>
      <c r="E114" s="195">
        <v>29</v>
      </c>
      <c r="F114" s="270">
        <v>46174</v>
      </c>
      <c r="G114" s="270">
        <v>46185</v>
      </c>
      <c r="H114" s="269">
        <v>1</v>
      </c>
      <c r="I114" s="269" t="s">
        <v>327</v>
      </c>
    </row>
    <row r="115" spans="1:11">
      <c r="A115" s="195" t="s">
        <v>338</v>
      </c>
      <c r="B115" s="195" t="s">
        <v>169</v>
      </c>
      <c r="C115" s="195" t="s">
        <v>564</v>
      </c>
      <c r="D115" s="195" t="s">
        <v>565</v>
      </c>
      <c r="E115" s="195">
        <v>30</v>
      </c>
      <c r="F115" s="270">
        <v>46188</v>
      </c>
      <c r="G115" s="270">
        <v>46199</v>
      </c>
      <c r="H115" s="269">
        <v>1</v>
      </c>
      <c r="I115" s="269" t="s">
        <v>327</v>
      </c>
      <c r="J115" s="255" t="s">
        <v>560</v>
      </c>
      <c r="K115" s="255" t="s">
        <v>566</v>
      </c>
    </row>
    <row r="116" spans="1:11">
      <c r="A116" s="195" t="s">
        <v>338</v>
      </c>
      <c r="B116" s="195" t="s">
        <v>169</v>
      </c>
      <c r="C116" s="195" t="s">
        <v>567</v>
      </c>
      <c r="D116" s="195" t="s">
        <v>568</v>
      </c>
      <c r="E116" s="195">
        <v>30</v>
      </c>
      <c r="F116" s="270">
        <v>46188</v>
      </c>
      <c r="G116" s="270">
        <v>46199</v>
      </c>
      <c r="H116" s="269">
        <v>1</v>
      </c>
      <c r="I116" s="269" t="s">
        <v>327</v>
      </c>
      <c r="J116" s="255" t="s">
        <v>560</v>
      </c>
      <c r="K116" s="255" t="s">
        <v>569</v>
      </c>
    </row>
    <row r="117" spans="1:11">
      <c r="A117" s="195" t="s">
        <v>338</v>
      </c>
      <c r="B117" s="195" t="s">
        <v>169</v>
      </c>
      <c r="C117" s="195" t="s">
        <v>570</v>
      </c>
      <c r="D117" s="195" t="s">
        <v>571</v>
      </c>
      <c r="E117" s="195">
        <v>30</v>
      </c>
      <c r="F117" s="270">
        <v>46188</v>
      </c>
      <c r="G117" s="270">
        <v>46199</v>
      </c>
      <c r="H117" s="269">
        <v>1</v>
      </c>
      <c r="I117" s="269" t="s">
        <v>327</v>
      </c>
    </row>
    <row r="118" spans="1:11">
      <c r="A118" s="195" t="s">
        <v>338</v>
      </c>
      <c r="B118" s="195" t="s">
        <v>169</v>
      </c>
      <c r="C118" s="195" t="s">
        <v>572</v>
      </c>
      <c r="D118" s="195" t="s">
        <v>573</v>
      </c>
      <c r="E118" s="195">
        <v>30</v>
      </c>
      <c r="F118" s="270">
        <v>46188</v>
      </c>
      <c r="G118" s="270">
        <v>46199</v>
      </c>
      <c r="H118" s="269">
        <v>1</v>
      </c>
      <c r="I118" s="269" t="s">
        <v>327</v>
      </c>
      <c r="J118" s="255" t="s">
        <v>521</v>
      </c>
      <c r="K118" s="255" t="s">
        <v>574</v>
      </c>
    </row>
    <row r="119" spans="1:11" ht="15" customHeight="1">
      <c r="A119" s="195" t="s">
        <v>709</v>
      </c>
      <c r="B119" s="195" t="s">
        <v>342</v>
      </c>
      <c r="C119" s="275" t="s">
        <v>575</v>
      </c>
      <c r="D119" s="274" t="s">
        <v>576</v>
      </c>
      <c r="E119" s="195">
        <v>30</v>
      </c>
      <c r="F119" s="270">
        <v>46188</v>
      </c>
      <c r="G119" s="270">
        <v>46199</v>
      </c>
      <c r="H119" s="269">
        <v>1</v>
      </c>
      <c r="I119" s="271"/>
      <c r="J119" s="255" t="s">
        <v>538</v>
      </c>
      <c r="K119" s="255" t="s">
        <v>577</v>
      </c>
    </row>
    <row r="120" spans="1:11">
      <c r="A120" s="195" t="s">
        <v>338</v>
      </c>
      <c r="B120" s="195" t="s">
        <v>713</v>
      </c>
      <c r="C120" s="275" t="s">
        <v>578</v>
      </c>
      <c r="D120" s="274" t="s">
        <v>579</v>
      </c>
      <c r="E120" s="195">
        <v>30</v>
      </c>
      <c r="F120" s="270">
        <v>46188</v>
      </c>
      <c r="G120" s="270">
        <v>46199</v>
      </c>
      <c r="H120" s="269">
        <v>1</v>
      </c>
      <c r="I120" s="271"/>
      <c r="J120" s="255" t="s">
        <v>538</v>
      </c>
      <c r="K120" s="255" t="s">
        <v>577</v>
      </c>
    </row>
    <row r="121" spans="1:11">
      <c r="A121" s="195" t="s">
        <v>338</v>
      </c>
      <c r="B121" s="195" t="s">
        <v>713</v>
      </c>
      <c r="C121" s="275" t="s">
        <v>580</v>
      </c>
      <c r="D121" s="274" t="s">
        <v>581</v>
      </c>
      <c r="E121" s="195">
        <v>30</v>
      </c>
      <c r="F121" s="270">
        <v>46188</v>
      </c>
      <c r="G121" s="270">
        <v>46199</v>
      </c>
      <c r="H121" s="269">
        <v>1</v>
      </c>
      <c r="I121" s="271"/>
      <c r="J121" s="255" t="s">
        <v>538</v>
      </c>
      <c r="K121" s="255" t="s">
        <v>577</v>
      </c>
    </row>
    <row r="122" spans="1:11">
      <c r="A122" s="195" t="s">
        <v>338</v>
      </c>
      <c r="B122" s="195" t="s">
        <v>169</v>
      </c>
      <c r="C122" s="273" t="s">
        <v>582</v>
      </c>
      <c r="D122" s="272" t="s">
        <v>583</v>
      </c>
      <c r="E122" s="195">
        <v>30</v>
      </c>
      <c r="F122" s="270">
        <v>46188</v>
      </c>
      <c r="G122" s="270">
        <v>46199</v>
      </c>
      <c r="H122" s="269">
        <v>1</v>
      </c>
      <c r="I122" s="271"/>
      <c r="J122" s="255" t="s">
        <v>538</v>
      </c>
      <c r="K122" s="255" t="s">
        <v>577</v>
      </c>
    </row>
    <row r="123" spans="1:11">
      <c r="A123" s="195" t="s">
        <v>338</v>
      </c>
      <c r="B123" s="195" t="s">
        <v>713</v>
      </c>
      <c r="C123" s="273" t="s">
        <v>584</v>
      </c>
      <c r="D123" s="272" t="s">
        <v>585</v>
      </c>
      <c r="E123" s="195">
        <v>30</v>
      </c>
      <c r="F123" s="270">
        <v>46188</v>
      </c>
      <c r="G123" s="270">
        <v>46199</v>
      </c>
      <c r="H123" s="269">
        <v>1</v>
      </c>
      <c r="I123" s="271"/>
      <c r="J123" s="255" t="s">
        <v>538</v>
      </c>
      <c r="K123" s="255" t="s">
        <v>577</v>
      </c>
    </row>
    <row r="124" spans="1:11">
      <c r="A124" s="195" t="s">
        <v>338</v>
      </c>
      <c r="B124" s="195" t="s">
        <v>713</v>
      </c>
      <c r="C124" s="273" t="s">
        <v>586</v>
      </c>
      <c r="D124" s="272" t="s">
        <v>587</v>
      </c>
      <c r="E124" s="195">
        <v>30</v>
      </c>
      <c r="F124" s="270">
        <v>46188</v>
      </c>
      <c r="G124" s="270">
        <v>46199</v>
      </c>
      <c r="H124" s="269">
        <v>1</v>
      </c>
      <c r="I124" s="271"/>
      <c r="J124" s="255" t="s">
        <v>538</v>
      </c>
      <c r="K124" s="255" t="s">
        <v>577</v>
      </c>
    </row>
    <row r="125" spans="1:11" ht="15" customHeight="1">
      <c r="A125" s="280" t="s">
        <v>323</v>
      </c>
      <c r="B125" s="195" t="s">
        <v>323</v>
      </c>
      <c r="C125" s="273" t="s">
        <v>588</v>
      </c>
      <c r="D125" s="272" t="s">
        <v>589</v>
      </c>
      <c r="E125" s="195">
        <v>30</v>
      </c>
      <c r="F125" s="270">
        <v>46188</v>
      </c>
      <c r="G125" s="270">
        <v>46199</v>
      </c>
      <c r="H125" s="269">
        <v>1</v>
      </c>
      <c r="I125" s="271"/>
      <c r="J125" s="255" t="s">
        <v>538</v>
      </c>
      <c r="K125" s="255" t="s">
        <v>577</v>
      </c>
    </row>
    <row r="126" spans="1:11">
      <c r="A126" s="195" t="s">
        <v>338</v>
      </c>
      <c r="B126" s="195" t="s">
        <v>169</v>
      </c>
      <c r="C126" s="195" t="s">
        <v>590</v>
      </c>
      <c r="D126" s="195" t="s">
        <v>591</v>
      </c>
      <c r="E126" s="195">
        <v>31</v>
      </c>
      <c r="F126" s="270">
        <v>46202</v>
      </c>
      <c r="G126" s="270">
        <v>46213</v>
      </c>
      <c r="H126" s="269">
        <v>1</v>
      </c>
      <c r="I126" s="269" t="s">
        <v>327</v>
      </c>
      <c r="J126" s="255" t="s">
        <v>521</v>
      </c>
      <c r="K126" s="255" t="s">
        <v>592</v>
      </c>
    </row>
    <row r="127" spans="1:11">
      <c r="A127" s="195" t="s">
        <v>338</v>
      </c>
      <c r="B127" s="195" t="s">
        <v>374</v>
      </c>
      <c r="C127" s="195" t="s">
        <v>593</v>
      </c>
      <c r="D127" s="195" t="s">
        <v>594</v>
      </c>
      <c r="E127" s="195">
        <v>31</v>
      </c>
      <c r="F127" s="270">
        <v>46202</v>
      </c>
      <c r="G127" s="270">
        <v>46213</v>
      </c>
      <c r="H127" s="269">
        <v>1</v>
      </c>
      <c r="I127" s="269" t="s">
        <v>327</v>
      </c>
      <c r="J127" s="255" t="s">
        <v>521</v>
      </c>
      <c r="K127" s="255" t="s">
        <v>595</v>
      </c>
    </row>
    <row r="128" spans="1:11">
      <c r="A128" s="195" t="s">
        <v>338</v>
      </c>
      <c r="B128" s="195" t="s">
        <v>374</v>
      </c>
      <c r="C128" s="195" t="s">
        <v>596</v>
      </c>
      <c r="D128" s="195" t="s">
        <v>597</v>
      </c>
      <c r="E128" s="195">
        <v>31</v>
      </c>
      <c r="F128" s="270">
        <v>46202</v>
      </c>
      <c r="G128" s="270">
        <v>46213</v>
      </c>
      <c r="H128" s="269">
        <v>1</v>
      </c>
      <c r="I128" s="269" t="s">
        <v>327</v>
      </c>
      <c r="J128" s="255" t="s">
        <v>521</v>
      </c>
      <c r="K128" s="255" t="s">
        <v>595</v>
      </c>
    </row>
    <row r="129" spans="1:11">
      <c r="A129" s="195" t="s">
        <v>338</v>
      </c>
      <c r="B129" s="195" t="s">
        <v>169</v>
      </c>
      <c r="C129" s="195" t="s">
        <v>598</v>
      </c>
      <c r="D129" s="195" t="s">
        <v>599</v>
      </c>
      <c r="E129" s="195">
        <v>31</v>
      </c>
      <c r="F129" s="270">
        <v>46202</v>
      </c>
      <c r="G129" s="270">
        <v>46213</v>
      </c>
      <c r="H129" s="269">
        <v>1</v>
      </c>
      <c r="I129" s="269"/>
      <c r="J129" s="255" t="s">
        <v>538</v>
      </c>
      <c r="K129" s="255" t="s">
        <v>539</v>
      </c>
    </row>
    <row r="130" spans="1:11">
      <c r="A130" s="195" t="s">
        <v>338</v>
      </c>
      <c r="B130" s="195" t="s">
        <v>169</v>
      </c>
      <c r="C130" s="195" t="s">
        <v>600</v>
      </c>
      <c r="D130" s="195" t="s">
        <v>601</v>
      </c>
      <c r="E130" s="195">
        <v>31</v>
      </c>
      <c r="F130" s="270">
        <v>46202</v>
      </c>
      <c r="G130" s="270">
        <v>46213</v>
      </c>
      <c r="H130" s="269">
        <v>1</v>
      </c>
      <c r="I130" s="269"/>
      <c r="J130" s="255" t="s">
        <v>538</v>
      </c>
      <c r="K130" s="255" t="s">
        <v>539</v>
      </c>
    </row>
    <row r="131" spans="1:11">
      <c r="A131" s="195" t="s">
        <v>338</v>
      </c>
      <c r="B131" s="195" t="s">
        <v>374</v>
      </c>
      <c r="C131" s="195" t="s">
        <v>602</v>
      </c>
      <c r="D131" s="195" t="s">
        <v>603</v>
      </c>
      <c r="E131" s="195">
        <v>32</v>
      </c>
      <c r="F131" s="270">
        <v>46216</v>
      </c>
      <c r="G131" s="270">
        <v>46227</v>
      </c>
      <c r="H131" s="269">
        <v>1</v>
      </c>
      <c r="I131" s="269" t="s">
        <v>327</v>
      </c>
    </row>
    <row r="132" spans="1:11">
      <c r="A132" s="195" t="s">
        <v>338</v>
      </c>
      <c r="B132" s="195" t="s">
        <v>374</v>
      </c>
      <c r="C132" s="195" t="s">
        <v>604</v>
      </c>
      <c r="D132" s="195" t="s">
        <v>605</v>
      </c>
      <c r="E132" s="195">
        <v>32</v>
      </c>
      <c r="F132" s="270">
        <v>46216</v>
      </c>
      <c r="G132" s="270">
        <v>46227</v>
      </c>
      <c r="H132" s="269">
        <v>1</v>
      </c>
      <c r="I132" s="269" t="s">
        <v>327</v>
      </c>
    </row>
    <row r="133" spans="1:11">
      <c r="A133" s="195" t="s">
        <v>338</v>
      </c>
      <c r="B133" s="195" t="s">
        <v>374</v>
      </c>
      <c r="C133" s="195" t="s">
        <v>606</v>
      </c>
      <c r="D133" s="195" t="s">
        <v>607</v>
      </c>
      <c r="E133" s="195">
        <v>32</v>
      </c>
      <c r="F133" s="270">
        <v>46216</v>
      </c>
      <c r="G133" s="270">
        <v>46227</v>
      </c>
      <c r="H133" s="269">
        <v>1</v>
      </c>
      <c r="I133" s="269" t="s">
        <v>327</v>
      </c>
    </row>
    <row r="134" spans="1:11">
      <c r="A134" s="195" t="s">
        <v>338</v>
      </c>
      <c r="B134" s="195" t="s">
        <v>374</v>
      </c>
      <c r="C134" s="195" t="s">
        <v>608</v>
      </c>
      <c r="D134" s="195" t="s">
        <v>609</v>
      </c>
      <c r="E134" s="195">
        <v>32</v>
      </c>
      <c r="F134" s="270">
        <v>46216</v>
      </c>
      <c r="G134" s="270">
        <v>46227</v>
      </c>
      <c r="H134" s="269">
        <v>1</v>
      </c>
      <c r="I134" s="269"/>
      <c r="J134" s="255" t="s">
        <v>610</v>
      </c>
      <c r="K134" s="255" t="s">
        <v>611</v>
      </c>
    </row>
    <row r="135" spans="1:11">
      <c r="A135" s="195" t="s">
        <v>338</v>
      </c>
      <c r="B135" s="195" t="s">
        <v>294</v>
      </c>
      <c r="C135" s="195" t="s">
        <v>612</v>
      </c>
      <c r="D135" s="195" t="s">
        <v>613</v>
      </c>
      <c r="E135" s="195">
        <v>32</v>
      </c>
      <c r="F135" s="270">
        <v>46216</v>
      </c>
      <c r="G135" s="270">
        <v>46227</v>
      </c>
      <c r="H135" s="269">
        <v>1</v>
      </c>
      <c r="I135" s="269"/>
      <c r="J135" s="255" t="s">
        <v>521</v>
      </c>
      <c r="K135" s="255" t="s">
        <v>611</v>
      </c>
    </row>
    <row r="136" spans="1:11">
      <c r="A136" s="195" t="s">
        <v>338</v>
      </c>
      <c r="B136" s="195" t="s">
        <v>374</v>
      </c>
      <c r="C136" s="195" t="s">
        <v>614</v>
      </c>
      <c r="D136" s="195" t="s">
        <v>615</v>
      </c>
      <c r="E136" s="195">
        <v>32</v>
      </c>
      <c r="F136" s="270">
        <v>46216</v>
      </c>
      <c r="G136" s="270">
        <v>46227</v>
      </c>
      <c r="H136" s="269">
        <v>1</v>
      </c>
      <c r="I136" s="269"/>
      <c r="J136" s="255" t="s">
        <v>4</v>
      </c>
      <c r="K136" s="255" t="s">
        <v>616</v>
      </c>
    </row>
    <row r="137" spans="1:11">
      <c r="A137" s="195" t="s">
        <v>338</v>
      </c>
      <c r="B137" s="195" t="s">
        <v>374</v>
      </c>
      <c r="C137" s="195" t="s">
        <v>617</v>
      </c>
      <c r="D137" s="195" t="s">
        <v>618</v>
      </c>
      <c r="E137" s="195">
        <v>32</v>
      </c>
      <c r="F137" s="270">
        <v>46216</v>
      </c>
      <c r="G137" s="270">
        <v>46227</v>
      </c>
      <c r="H137" s="269">
        <v>1</v>
      </c>
      <c r="I137" s="269"/>
      <c r="J137" s="255" t="s">
        <v>4</v>
      </c>
      <c r="K137" s="255" t="s">
        <v>616</v>
      </c>
    </row>
    <row r="138" spans="1:11">
      <c r="A138" s="195" t="s">
        <v>338</v>
      </c>
      <c r="B138" s="195" t="s">
        <v>298</v>
      </c>
      <c r="C138" s="195" t="s">
        <v>619</v>
      </c>
      <c r="D138" s="195" t="s">
        <v>620</v>
      </c>
      <c r="E138" s="195">
        <v>32</v>
      </c>
      <c r="F138" s="270">
        <v>46216</v>
      </c>
      <c r="G138" s="270">
        <v>46227</v>
      </c>
      <c r="H138" s="269">
        <v>1</v>
      </c>
      <c r="I138" s="269"/>
      <c r="J138" s="255" t="s">
        <v>4</v>
      </c>
      <c r="K138" s="255" t="s">
        <v>616</v>
      </c>
    </row>
    <row r="139" spans="1:11">
      <c r="A139" s="195" t="s">
        <v>338</v>
      </c>
      <c r="B139" s="195" t="s">
        <v>374</v>
      </c>
      <c r="C139" s="195" t="s">
        <v>621</v>
      </c>
      <c r="D139" s="195" t="s">
        <v>622</v>
      </c>
      <c r="E139" s="195">
        <v>32</v>
      </c>
      <c r="F139" s="270">
        <v>46216</v>
      </c>
      <c r="G139" s="270">
        <v>46227</v>
      </c>
      <c r="H139" s="269">
        <v>1</v>
      </c>
      <c r="I139" s="269"/>
      <c r="J139" s="255" t="s">
        <v>4</v>
      </c>
      <c r="K139" s="255" t="s">
        <v>616</v>
      </c>
    </row>
    <row r="140" spans="1:11">
      <c r="A140" s="195" t="s">
        <v>338</v>
      </c>
      <c r="B140" s="195" t="s">
        <v>349</v>
      </c>
      <c r="C140" s="195" t="s">
        <v>623</v>
      </c>
      <c r="D140" s="195" t="s">
        <v>624</v>
      </c>
      <c r="E140" s="195">
        <v>32</v>
      </c>
      <c r="F140" s="270">
        <v>46216</v>
      </c>
      <c r="G140" s="270">
        <v>46227</v>
      </c>
      <c r="H140" s="269">
        <v>1</v>
      </c>
      <c r="I140" s="269"/>
      <c r="J140" s="255" t="s">
        <v>4</v>
      </c>
      <c r="K140" s="255" t="s">
        <v>616</v>
      </c>
    </row>
    <row r="141" spans="1:11">
      <c r="A141" s="195" t="s">
        <v>338</v>
      </c>
      <c r="B141" s="195" t="s">
        <v>298</v>
      </c>
      <c r="C141" s="195" t="s">
        <v>625</v>
      </c>
      <c r="D141" s="195" t="s">
        <v>626</v>
      </c>
      <c r="E141" s="195">
        <v>32</v>
      </c>
      <c r="F141" s="270">
        <v>46216</v>
      </c>
      <c r="G141" s="270">
        <v>46227</v>
      </c>
      <c r="H141" s="269">
        <v>1</v>
      </c>
      <c r="I141" s="269"/>
      <c r="J141" s="255" t="s">
        <v>4</v>
      </c>
      <c r="K141" s="255" t="s">
        <v>616</v>
      </c>
    </row>
    <row r="142" spans="1:11">
      <c r="A142" s="195" t="s">
        <v>338</v>
      </c>
      <c r="B142" s="195" t="s">
        <v>374</v>
      </c>
      <c r="C142" s="195" t="s">
        <v>627</v>
      </c>
      <c r="D142" s="195" t="s">
        <v>628</v>
      </c>
      <c r="E142" s="195">
        <v>32</v>
      </c>
      <c r="F142" s="270">
        <v>46216</v>
      </c>
      <c r="G142" s="270">
        <v>46227</v>
      </c>
      <c r="H142" s="269">
        <v>1</v>
      </c>
      <c r="I142" s="269"/>
      <c r="J142" s="255" t="s">
        <v>4</v>
      </c>
      <c r="K142" s="255" t="s">
        <v>616</v>
      </c>
    </row>
    <row r="143" spans="1:11">
      <c r="A143" s="195" t="s">
        <v>338</v>
      </c>
      <c r="B143" s="195" t="s">
        <v>374</v>
      </c>
      <c r="C143" s="195" t="s">
        <v>629</v>
      </c>
      <c r="D143" s="195" t="s">
        <v>630</v>
      </c>
      <c r="E143" s="195">
        <v>32</v>
      </c>
      <c r="F143" s="270">
        <v>46216</v>
      </c>
      <c r="G143" s="270">
        <v>46227</v>
      </c>
      <c r="H143" s="269">
        <v>1</v>
      </c>
      <c r="I143" s="269"/>
      <c r="J143" s="255" t="s">
        <v>4</v>
      </c>
      <c r="K143" s="255" t="s">
        <v>616</v>
      </c>
    </row>
    <row r="144" spans="1:11">
      <c r="A144" s="195" t="s">
        <v>338</v>
      </c>
      <c r="B144" s="195" t="s">
        <v>374</v>
      </c>
      <c r="C144" s="195" t="s">
        <v>631</v>
      </c>
      <c r="D144" s="195" t="s">
        <v>632</v>
      </c>
      <c r="E144" s="195">
        <v>32</v>
      </c>
      <c r="F144" s="270">
        <v>46216</v>
      </c>
      <c r="G144" s="270">
        <v>46227</v>
      </c>
      <c r="H144" s="269">
        <v>1</v>
      </c>
      <c r="I144" s="269"/>
      <c r="J144" s="255" t="s">
        <v>4</v>
      </c>
      <c r="K144" s="255" t="s">
        <v>616</v>
      </c>
    </row>
    <row r="145" spans="1:11">
      <c r="A145" s="195" t="s">
        <v>338</v>
      </c>
      <c r="B145" s="195" t="s">
        <v>374</v>
      </c>
      <c r="C145" s="195" t="s">
        <v>633</v>
      </c>
      <c r="D145" s="195" t="s">
        <v>634</v>
      </c>
      <c r="E145" s="195">
        <v>32</v>
      </c>
      <c r="F145" s="270">
        <v>46216</v>
      </c>
      <c r="G145" s="270">
        <v>46227</v>
      </c>
      <c r="H145" s="269">
        <v>1</v>
      </c>
      <c r="I145" s="269"/>
      <c r="J145" s="255" t="s">
        <v>4</v>
      </c>
      <c r="K145" s="255" t="s">
        <v>616</v>
      </c>
    </row>
    <row r="146" spans="1:11">
      <c r="A146" s="195" t="s">
        <v>338</v>
      </c>
      <c r="B146" s="195" t="s">
        <v>294</v>
      </c>
      <c r="C146" s="195" t="s">
        <v>635</v>
      </c>
      <c r="D146" s="195" t="s">
        <v>636</v>
      </c>
      <c r="E146" s="195">
        <v>33</v>
      </c>
      <c r="F146" s="270">
        <v>46230</v>
      </c>
      <c r="G146" s="270">
        <v>46241</v>
      </c>
      <c r="H146" s="269">
        <v>1</v>
      </c>
      <c r="I146" s="269" t="s">
        <v>327</v>
      </c>
    </row>
    <row r="147" spans="1:11">
      <c r="A147" s="195" t="s">
        <v>338</v>
      </c>
      <c r="B147" s="195" t="s">
        <v>296</v>
      </c>
      <c r="C147" s="195" t="s">
        <v>637</v>
      </c>
      <c r="D147" s="195" t="s">
        <v>638</v>
      </c>
      <c r="E147" s="195">
        <v>33</v>
      </c>
      <c r="F147" s="270">
        <v>46230</v>
      </c>
      <c r="G147" s="270">
        <v>46241</v>
      </c>
      <c r="H147" s="269">
        <v>1</v>
      </c>
      <c r="I147" s="269" t="s">
        <v>327</v>
      </c>
    </row>
    <row r="148" spans="1:11">
      <c r="A148" s="195" t="s">
        <v>338</v>
      </c>
      <c r="B148" s="195" t="s">
        <v>296</v>
      </c>
      <c r="D148" s="195" t="s">
        <v>639</v>
      </c>
      <c r="E148" s="195">
        <v>33</v>
      </c>
      <c r="F148" s="270">
        <v>46230</v>
      </c>
      <c r="G148" s="270">
        <v>46241</v>
      </c>
      <c r="H148" s="269">
        <v>1</v>
      </c>
      <c r="I148" s="269" t="s">
        <v>327</v>
      </c>
    </row>
    <row r="149" spans="1:11">
      <c r="A149" s="195" t="s">
        <v>338</v>
      </c>
      <c r="B149" s="195" t="s">
        <v>296</v>
      </c>
      <c r="D149" s="195" t="s">
        <v>640</v>
      </c>
      <c r="E149" s="195">
        <v>34</v>
      </c>
      <c r="F149" s="270">
        <v>46244</v>
      </c>
      <c r="G149" s="270">
        <v>46255</v>
      </c>
      <c r="H149" s="269">
        <v>1</v>
      </c>
      <c r="I149" s="269" t="s">
        <v>327</v>
      </c>
    </row>
    <row r="150" spans="1:11">
      <c r="A150" s="195" t="s">
        <v>338</v>
      </c>
      <c r="B150" s="195" t="s">
        <v>296</v>
      </c>
      <c r="D150" s="195" t="s">
        <v>641</v>
      </c>
      <c r="E150" s="195">
        <v>34</v>
      </c>
      <c r="F150" s="270">
        <v>46244</v>
      </c>
      <c r="G150" s="270">
        <v>46255</v>
      </c>
      <c r="H150" s="269">
        <v>0</v>
      </c>
      <c r="I150" s="269" t="s">
        <v>327</v>
      </c>
    </row>
    <row r="151" spans="1:11">
      <c r="A151" s="195" t="s">
        <v>338</v>
      </c>
      <c r="B151" s="195" t="s">
        <v>298</v>
      </c>
      <c r="D151" s="195" t="s">
        <v>642</v>
      </c>
      <c r="E151" s="195">
        <v>34</v>
      </c>
      <c r="F151" s="270">
        <v>46244</v>
      </c>
      <c r="G151" s="270">
        <v>46255</v>
      </c>
      <c r="H151" s="269">
        <v>0</v>
      </c>
      <c r="I151" s="269" t="s">
        <v>327</v>
      </c>
      <c r="J151" s="255" t="s">
        <v>521</v>
      </c>
      <c r="K151" s="255" t="s">
        <v>643</v>
      </c>
    </row>
    <row r="152" spans="1:11">
      <c r="A152" s="195" t="s">
        <v>338</v>
      </c>
      <c r="B152" s="195" t="s">
        <v>298</v>
      </c>
      <c r="D152" s="195" t="s">
        <v>644</v>
      </c>
      <c r="E152" s="195">
        <v>35</v>
      </c>
      <c r="F152" s="270">
        <v>46258</v>
      </c>
      <c r="G152" s="270">
        <v>46269</v>
      </c>
      <c r="H152" s="269">
        <v>0</v>
      </c>
      <c r="I152" s="269" t="s">
        <v>327</v>
      </c>
      <c r="J152" s="255" t="s">
        <v>521</v>
      </c>
      <c r="K152" s="255" t="s">
        <v>645</v>
      </c>
    </row>
    <row r="153" spans="1:11">
      <c r="A153" s="195" t="s">
        <v>338</v>
      </c>
      <c r="B153" s="195" t="s">
        <v>298</v>
      </c>
      <c r="D153" s="195" t="s">
        <v>646</v>
      </c>
      <c r="E153" s="195">
        <v>35</v>
      </c>
      <c r="F153" s="270">
        <v>46258</v>
      </c>
      <c r="G153" s="270">
        <v>46269</v>
      </c>
      <c r="H153" s="269">
        <v>0</v>
      </c>
      <c r="I153" s="269" t="s">
        <v>327</v>
      </c>
      <c r="J153" s="255" t="s">
        <v>521</v>
      </c>
      <c r="K153" s="255" t="s">
        <v>647</v>
      </c>
    </row>
    <row r="154" spans="1:11">
      <c r="A154" s="195" t="s">
        <v>338</v>
      </c>
      <c r="B154" s="195" t="s">
        <v>300</v>
      </c>
      <c r="D154" s="195" t="s">
        <v>648</v>
      </c>
      <c r="E154" s="195">
        <v>35</v>
      </c>
      <c r="F154" s="270">
        <v>46258</v>
      </c>
      <c r="G154" s="270">
        <v>46269</v>
      </c>
      <c r="H154" s="269">
        <v>0</v>
      </c>
      <c r="I154" s="269" t="s">
        <v>327</v>
      </c>
      <c r="J154" s="269"/>
      <c r="K154" s="269"/>
    </row>
    <row r="155" spans="1:11">
      <c r="A155" s="195" t="s">
        <v>338</v>
      </c>
      <c r="B155" s="195" t="s">
        <v>300</v>
      </c>
      <c r="D155" s="195" t="s">
        <v>649</v>
      </c>
      <c r="E155" s="195">
        <v>35</v>
      </c>
      <c r="F155" s="270">
        <v>46258</v>
      </c>
      <c r="G155" s="270">
        <v>46269</v>
      </c>
      <c r="H155" s="269">
        <v>0</v>
      </c>
      <c r="I155" s="269" t="s">
        <v>327</v>
      </c>
      <c r="J155" s="269"/>
      <c r="K155" s="269"/>
    </row>
    <row r="156" spans="1:11">
      <c r="A156" s="195" t="s">
        <v>343</v>
      </c>
      <c r="B156" s="195" t="s">
        <v>301</v>
      </c>
      <c r="D156" s="195" t="s">
        <v>650</v>
      </c>
      <c r="E156" s="195">
        <v>36</v>
      </c>
      <c r="F156" s="270">
        <v>46272</v>
      </c>
      <c r="G156" s="270">
        <v>46283</v>
      </c>
      <c r="H156" s="269">
        <v>0</v>
      </c>
      <c r="I156" s="269" t="s">
        <v>327</v>
      </c>
      <c r="J156" s="269"/>
      <c r="K156" s="269"/>
    </row>
    <row r="157" spans="1:11">
      <c r="A157" s="195" t="s">
        <v>343</v>
      </c>
      <c r="B157" s="195" t="s">
        <v>301</v>
      </c>
      <c r="D157" s="195" t="s">
        <v>651</v>
      </c>
      <c r="E157" s="195">
        <v>37</v>
      </c>
      <c r="F157" s="270">
        <v>46286</v>
      </c>
      <c r="G157" s="270">
        <v>46297</v>
      </c>
      <c r="H157" s="269">
        <v>0</v>
      </c>
      <c r="I157" s="269" t="s">
        <v>327</v>
      </c>
      <c r="J157" s="269"/>
      <c r="K157" s="269"/>
    </row>
    <row r="158" spans="1:11">
      <c r="A158" s="195" t="s">
        <v>343</v>
      </c>
      <c r="B158" s="195" t="s">
        <v>303</v>
      </c>
      <c r="D158" s="195" t="s">
        <v>652</v>
      </c>
      <c r="E158" s="195">
        <v>38</v>
      </c>
      <c r="F158" s="270">
        <v>46300</v>
      </c>
      <c r="G158" s="270">
        <v>46311</v>
      </c>
      <c r="H158" s="269">
        <v>0</v>
      </c>
      <c r="I158" s="269" t="s">
        <v>327</v>
      </c>
      <c r="J158" s="269"/>
      <c r="K158" s="269"/>
    </row>
    <row r="159" spans="1:11">
      <c r="A159" s="195" t="s">
        <v>343</v>
      </c>
      <c r="B159" s="195" t="s">
        <v>303</v>
      </c>
      <c r="D159" s="195" t="s">
        <v>653</v>
      </c>
      <c r="E159" s="195">
        <v>39</v>
      </c>
      <c r="F159" s="270">
        <v>46314</v>
      </c>
      <c r="G159" s="270">
        <v>46325</v>
      </c>
      <c r="H159" s="269">
        <v>0</v>
      </c>
      <c r="I159" s="269" t="s">
        <v>327</v>
      </c>
      <c r="J159" s="269"/>
      <c r="K159" s="269"/>
    </row>
    <row r="160" spans="1:11">
      <c r="A160" s="195" t="s">
        <v>343</v>
      </c>
      <c r="B160" s="195" t="s">
        <v>303</v>
      </c>
      <c r="D160" s="195" t="s">
        <v>654</v>
      </c>
      <c r="E160" s="195">
        <v>40</v>
      </c>
      <c r="F160" s="270">
        <v>46328</v>
      </c>
      <c r="G160" s="270">
        <v>46339</v>
      </c>
      <c r="H160" s="269">
        <v>0</v>
      </c>
      <c r="I160" s="269" t="s">
        <v>327</v>
      </c>
      <c r="J160" s="269"/>
      <c r="K160" s="269"/>
    </row>
    <row r="161" spans="1:11">
      <c r="A161" s="195" t="s">
        <v>343</v>
      </c>
      <c r="B161" s="195" t="s">
        <v>303</v>
      </c>
      <c r="D161" s="195" t="s">
        <v>655</v>
      </c>
      <c r="E161" s="195">
        <v>41</v>
      </c>
      <c r="F161" s="270">
        <v>46342</v>
      </c>
      <c r="G161" s="270">
        <v>46353</v>
      </c>
      <c r="H161" s="269">
        <v>0</v>
      </c>
      <c r="I161" s="269" t="s">
        <v>327</v>
      </c>
      <c r="J161" s="269"/>
      <c r="K161" s="269"/>
    </row>
    <row r="162" spans="1:11">
      <c r="A162" s="195" t="s">
        <v>335</v>
      </c>
      <c r="B162" s="195" t="s">
        <v>305</v>
      </c>
      <c r="D162" s="195" t="s">
        <v>656</v>
      </c>
      <c r="E162" s="195">
        <v>42</v>
      </c>
      <c r="F162" s="270">
        <v>46356</v>
      </c>
      <c r="G162" s="270">
        <v>46367</v>
      </c>
      <c r="H162" s="269">
        <v>0</v>
      </c>
      <c r="I162" s="269" t="s">
        <v>327</v>
      </c>
      <c r="J162" s="269"/>
      <c r="K162" s="269"/>
    </row>
    <row r="163" spans="1:11">
      <c r="A163" s="195" t="s">
        <v>335</v>
      </c>
      <c r="B163" s="195" t="s">
        <v>306</v>
      </c>
      <c r="D163" s="195" t="s">
        <v>657</v>
      </c>
      <c r="E163" s="195">
        <v>43</v>
      </c>
      <c r="F163" s="270">
        <v>46370</v>
      </c>
      <c r="G163" s="270">
        <v>46381</v>
      </c>
      <c r="H163" s="269">
        <v>0</v>
      </c>
      <c r="I163" s="269" t="s">
        <v>327</v>
      </c>
      <c r="J163" s="269"/>
      <c r="K163" s="269"/>
    </row>
  </sheetData>
  <autoFilter ref="A1:T163" xr:uid="{00000000-0009-0000-0000-000010000000}"/>
  <hyperlinks>
    <hyperlink ref="C111" r:id="rId3" xr:uid="{00000000-0004-0000-1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"/>
  <sheetViews>
    <sheetView workbookViewId="0">
      <selection activeCell="E9" sqref="E9"/>
    </sheetView>
  </sheetViews>
  <sheetFormatPr defaultRowHeight="15" customHeight="1"/>
  <cols>
    <col min="1" max="1" width="7.26953125" bestFit="1" customWidth="1"/>
    <col min="2" max="2" width="18.26953125" bestFit="1" customWidth="1"/>
    <col min="3" max="3" width="15.1796875" bestFit="1" customWidth="1"/>
    <col min="4" max="4" width="12.81640625" customWidth="1"/>
    <col min="5" max="5" width="18.54296875" customWidth="1"/>
    <col min="6" max="6" width="19.453125" customWidth="1"/>
    <col min="7" max="7" width="14.7265625" customWidth="1"/>
    <col min="9" max="9" width="12.81640625" bestFit="1" customWidth="1"/>
    <col min="10" max="10" width="10.7265625" bestFit="1" customWidth="1"/>
    <col min="11" max="11" width="38.453125" bestFit="1" customWidth="1"/>
    <col min="12" max="12" width="40.453125" bestFit="1" customWidth="1"/>
  </cols>
  <sheetData>
    <row r="1" spans="1:11" ht="15" customHeight="1">
      <c r="B1" s="12" t="s">
        <v>714</v>
      </c>
      <c r="C1" s="88">
        <v>30</v>
      </c>
      <c r="D1" s="12" t="s">
        <v>715</v>
      </c>
    </row>
    <row r="2" spans="1:11" ht="15" customHeight="1">
      <c r="B2" s="12" t="s">
        <v>716</v>
      </c>
      <c r="C2" s="88">
        <v>10</v>
      </c>
      <c r="D2" s="12" t="s">
        <v>717</v>
      </c>
    </row>
    <row r="3" spans="1:11" ht="15" customHeight="1">
      <c r="B3" s="94" t="s">
        <v>718</v>
      </c>
    </row>
    <row r="4" spans="1:11" ht="14.5"/>
    <row r="5" spans="1:11" s="49" customFormat="1" ht="28.5" customHeight="1">
      <c r="A5" s="90" t="s">
        <v>15</v>
      </c>
      <c r="B5" s="91" t="s">
        <v>719</v>
      </c>
      <c r="C5" s="91" t="s">
        <v>720</v>
      </c>
      <c r="D5" s="92" t="s">
        <v>258</v>
      </c>
      <c r="E5" s="92" t="s">
        <v>721</v>
      </c>
      <c r="F5" s="93" t="s">
        <v>722</v>
      </c>
      <c r="G5" s="92" t="s">
        <v>723</v>
      </c>
      <c r="J5" s="84" t="s">
        <v>15</v>
      </c>
      <c r="K5" t="s">
        <v>724</v>
      </c>
    </row>
    <row r="6" spans="1:11" ht="14.5" customHeight="1">
      <c r="A6" s="74">
        <v>18</v>
      </c>
      <c r="B6" s="95">
        <v>46027</v>
      </c>
      <c r="C6" s="95">
        <v>46031</v>
      </c>
      <c r="D6">
        <f>NETWORKDAYS(B6, C6, holiday!$A$2:$A$18)</f>
        <v>5</v>
      </c>
      <c r="E6">
        <f t="shared" ref="E6:E32" si="0">(D6/10)*$C$1</f>
        <v>15</v>
      </c>
      <c r="F6" s="1">
        <f t="shared" ref="F6:F32" si="1">(D6)/$C$2</f>
        <v>0.5</v>
      </c>
      <c r="G6" t="s">
        <v>725</v>
      </c>
      <c r="J6">
        <v>18</v>
      </c>
      <c r="K6" s="1">
        <v>0.5</v>
      </c>
    </row>
    <row r="7" spans="1:11" ht="14.5" customHeight="1">
      <c r="A7" s="74">
        <v>19</v>
      </c>
      <c r="B7" s="95">
        <v>46034</v>
      </c>
      <c r="C7" s="95">
        <v>46045</v>
      </c>
      <c r="D7">
        <f>NETWORKDAYS(B7, C7, holiday!$A$2:$A$18)</f>
        <v>10</v>
      </c>
      <c r="E7">
        <f t="shared" si="0"/>
        <v>30</v>
      </c>
      <c r="F7" s="1">
        <f t="shared" si="1"/>
        <v>1</v>
      </c>
      <c r="G7" t="s">
        <v>716</v>
      </c>
      <c r="J7">
        <v>19</v>
      </c>
      <c r="K7" s="1">
        <v>1</v>
      </c>
    </row>
    <row r="8" spans="1:11" ht="14.5" customHeight="1">
      <c r="A8" s="74">
        <v>20</v>
      </c>
      <c r="B8" s="95">
        <v>46048</v>
      </c>
      <c r="C8" s="95">
        <v>46059</v>
      </c>
      <c r="D8">
        <f>NETWORKDAYS(B8, C8, holiday!$A$2:$A$18)</f>
        <v>10</v>
      </c>
      <c r="E8">
        <f t="shared" si="0"/>
        <v>30</v>
      </c>
      <c r="F8" s="1">
        <f t="shared" si="1"/>
        <v>1</v>
      </c>
      <c r="G8" t="s">
        <v>716</v>
      </c>
      <c r="J8">
        <v>20</v>
      </c>
      <c r="K8" s="1">
        <v>1</v>
      </c>
    </row>
    <row r="9" spans="1:11" ht="14.5" customHeight="1">
      <c r="A9" s="74">
        <v>21</v>
      </c>
      <c r="B9" s="95">
        <v>46062</v>
      </c>
      <c r="C9" s="95">
        <v>46073</v>
      </c>
      <c r="D9">
        <f>NETWORKDAYS(B9, C9, holiday!$A$2:$A$18)</f>
        <v>10</v>
      </c>
      <c r="E9">
        <f t="shared" si="0"/>
        <v>30</v>
      </c>
      <c r="F9" s="1">
        <f t="shared" si="1"/>
        <v>1</v>
      </c>
      <c r="G9" t="s">
        <v>716</v>
      </c>
      <c r="J9">
        <v>21</v>
      </c>
      <c r="K9" s="1">
        <v>1</v>
      </c>
    </row>
    <row r="10" spans="1:11" ht="14.5" customHeight="1">
      <c r="A10" s="74">
        <v>22</v>
      </c>
      <c r="B10" s="95">
        <v>46076</v>
      </c>
      <c r="C10" s="95">
        <v>46087</v>
      </c>
      <c r="D10">
        <f>NETWORKDAYS(B10, C10, holiday!$A$2:$A$18)</f>
        <v>9</v>
      </c>
      <c r="E10">
        <f t="shared" si="0"/>
        <v>27</v>
      </c>
      <c r="F10" s="1">
        <f t="shared" si="1"/>
        <v>0.9</v>
      </c>
      <c r="G10" t="s">
        <v>716</v>
      </c>
      <c r="J10">
        <v>22</v>
      </c>
      <c r="K10" s="1">
        <v>0.9</v>
      </c>
    </row>
    <row r="11" spans="1:11" ht="14.5" customHeight="1">
      <c r="A11" s="74">
        <v>23</v>
      </c>
      <c r="B11" s="95">
        <v>46090</v>
      </c>
      <c r="C11" s="95">
        <v>46101</v>
      </c>
      <c r="D11">
        <f>NETWORKDAYS(B11, C11, holiday!$A$2:$A$18)</f>
        <v>10</v>
      </c>
      <c r="E11">
        <f t="shared" si="0"/>
        <v>30</v>
      </c>
      <c r="F11" s="1">
        <f t="shared" si="1"/>
        <v>1</v>
      </c>
      <c r="G11" t="s">
        <v>716</v>
      </c>
      <c r="J11">
        <v>23</v>
      </c>
      <c r="K11" s="1">
        <v>1</v>
      </c>
    </row>
    <row r="12" spans="1:11" ht="14.5" customHeight="1">
      <c r="A12" s="74">
        <v>24</v>
      </c>
      <c r="B12" s="95">
        <v>46104</v>
      </c>
      <c r="C12" s="95">
        <v>46115</v>
      </c>
      <c r="D12">
        <f>NETWORKDAYS(B12, C12, holiday!$A$2:$A$18)</f>
        <v>10</v>
      </c>
      <c r="E12">
        <f t="shared" si="0"/>
        <v>30</v>
      </c>
      <c r="F12" s="1">
        <f t="shared" si="1"/>
        <v>1</v>
      </c>
      <c r="G12" t="s">
        <v>716</v>
      </c>
      <c r="J12">
        <v>24</v>
      </c>
      <c r="K12" s="1">
        <v>1</v>
      </c>
    </row>
    <row r="13" spans="1:11" ht="14.5" customHeight="1">
      <c r="A13" s="74">
        <v>25</v>
      </c>
      <c r="B13" s="95">
        <v>46118</v>
      </c>
      <c r="C13" s="95">
        <v>46129</v>
      </c>
      <c r="D13">
        <f>NETWORKDAYS(B13, C13, holiday!$A$2:$A$18)</f>
        <v>6</v>
      </c>
      <c r="E13">
        <f t="shared" si="0"/>
        <v>18</v>
      </c>
      <c r="F13" s="1">
        <f t="shared" si="1"/>
        <v>0.6</v>
      </c>
      <c r="G13" t="s">
        <v>716</v>
      </c>
      <c r="J13">
        <v>25</v>
      </c>
      <c r="K13" s="1">
        <v>0.6</v>
      </c>
    </row>
    <row r="14" spans="1:11" ht="14.5" customHeight="1">
      <c r="A14" s="74">
        <v>26</v>
      </c>
      <c r="B14" s="95">
        <v>46132</v>
      </c>
      <c r="C14" s="95">
        <v>46143</v>
      </c>
      <c r="D14">
        <f>NETWORKDAYS(B14, C14, holiday!$A$2:$A$18)</f>
        <v>9</v>
      </c>
      <c r="E14">
        <f t="shared" si="0"/>
        <v>27</v>
      </c>
      <c r="F14" s="1">
        <f t="shared" si="1"/>
        <v>0.9</v>
      </c>
      <c r="G14" t="s">
        <v>716</v>
      </c>
      <c r="J14">
        <v>26</v>
      </c>
      <c r="K14" s="1">
        <v>0.9</v>
      </c>
    </row>
    <row r="15" spans="1:11" ht="14.5" customHeight="1">
      <c r="A15" s="74">
        <v>27</v>
      </c>
      <c r="B15" s="95">
        <v>46146</v>
      </c>
      <c r="C15" s="95">
        <v>46157</v>
      </c>
      <c r="D15">
        <f>NETWORKDAYS(B15, C15, holiday!$A$2:$A$18)</f>
        <v>9</v>
      </c>
      <c r="E15">
        <f t="shared" si="0"/>
        <v>27</v>
      </c>
      <c r="F15" s="1">
        <f t="shared" si="1"/>
        <v>0.9</v>
      </c>
      <c r="G15" t="s">
        <v>716</v>
      </c>
      <c r="J15">
        <v>27</v>
      </c>
      <c r="K15" s="1">
        <v>0.9</v>
      </c>
    </row>
    <row r="16" spans="1:11" ht="14.5" customHeight="1">
      <c r="A16" s="74">
        <v>28</v>
      </c>
      <c r="B16" s="95">
        <v>46160</v>
      </c>
      <c r="C16" s="95">
        <v>46171</v>
      </c>
      <c r="D16">
        <f>NETWORKDAYS(B16, C16, holiday!$A$2:$A$18)</f>
        <v>10</v>
      </c>
      <c r="E16">
        <f t="shared" si="0"/>
        <v>30</v>
      </c>
      <c r="F16" s="1">
        <f t="shared" si="1"/>
        <v>1</v>
      </c>
      <c r="G16" t="s">
        <v>716</v>
      </c>
      <c r="J16">
        <v>28</v>
      </c>
      <c r="K16" s="1">
        <v>1</v>
      </c>
    </row>
    <row r="17" spans="1:11" ht="14.5" customHeight="1">
      <c r="A17" s="74">
        <v>29</v>
      </c>
      <c r="B17" s="95">
        <v>46174</v>
      </c>
      <c r="C17" s="95">
        <v>46185</v>
      </c>
      <c r="D17">
        <f>NETWORKDAYS(B17, C17, holiday!$A$2:$A$18)</f>
        <v>8</v>
      </c>
      <c r="E17">
        <f t="shared" si="0"/>
        <v>24</v>
      </c>
      <c r="F17" s="1">
        <f t="shared" si="1"/>
        <v>0.8</v>
      </c>
      <c r="G17" t="s">
        <v>716</v>
      </c>
      <c r="J17">
        <v>29</v>
      </c>
      <c r="K17" s="1">
        <v>0.8</v>
      </c>
    </row>
    <row r="18" spans="1:11" ht="14.5" customHeight="1">
      <c r="A18" s="74">
        <v>30</v>
      </c>
      <c r="B18" s="95">
        <v>46188</v>
      </c>
      <c r="C18" s="95">
        <v>46199</v>
      </c>
      <c r="D18">
        <f>NETWORKDAYS(B18, C18, holiday!$A$2:$A$18)</f>
        <v>10</v>
      </c>
      <c r="E18">
        <f t="shared" si="0"/>
        <v>30</v>
      </c>
      <c r="F18" s="1">
        <f t="shared" si="1"/>
        <v>1</v>
      </c>
      <c r="G18" t="s">
        <v>716</v>
      </c>
      <c r="J18">
        <v>30</v>
      </c>
      <c r="K18" s="1">
        <v>1</v>
      </c>
    </row>
    <row r="19" spans="1:11" ht="14.5" customHeight="1">
      <c r="A19" s="74">
        <v>31</v>
      </c>
      <c r="B19" s="95">
        <v>46202</v>
      </c>
      <c r="C19" s="95">
        <v>46213</v>
      </c>
      <c r="D19">
        <f>NETWORKDAYS(B19, C19, holiday!$A$2:$A$18)</f>
        <v>10</v>
      </c>
      <c r="E19">
        <f t="shared" si="0"/>
        <v>30</v>
      </c>
      <c r="F19" s="1">
        <f t="shared" si="1"/>
        <v>1</v>
      </c>
      <c r="G19" t="s">
        <v>716</v>
      </c>
      <c r="J19">
        <v>31</v>
      </c>
      <c r="K19" s="1">
        <v>1</v>
      </c>
    </row>
    <row r="20" spans="1:11" ht="14.5" customHeight="1">
      <c r="A20" s="74">
        <v>32</v>
      </c>
      <c r="B20" s="95">
        <v>46216</v>
      </c>
      <c r="C20" s="95">
        <v>46227</v>
      </c>
      <c r="D20">
        <f>NETWORKDAYS(B20, C20, holiday!$A$2:$A$18)</f>
        <v>10</v>
      </c>
      <c r="E20">
        <f t="shared" si="0"/>
        <v>30</v>
      </c>
      <c r="F20" s="1">
        <f t="shared" si="1"/>
        <v>1</v>
      </c>
      <c r="G20" t="s">
        <v>716</v>
      </c>
      <c r="J20">
        <v>32</v>
      </c>
      <c r="K20" s="1">
        <v>1</v>
      </c>
    </row>
    <row r="21" spans="1:11" ht="14.5" customHeight="1">
      <c r="A21" s="74">
        <v>33</v>
      </c>
      <c r="B21" s="95">
        <v>46230</v>
      </c>
      <c r="C21" s="95">
        <v>46241</v>
      </c>
      <c r="D21">
        <f>NETWORKDAYS(B21, C21, holiday!$A$2:$A$18)</f>
        <v>8</v>
      </c>
      <c r="E21">
        <f t="shared" si="0"/>
        <v>24</v>
      </c>
      <c r="F21" s="1">
        <f t="shared" si="1"/>
        <v>0.8</v>
      </c>
      <c r="G21" t="s">
        <v>716</v>
      </c>
      <c r="J21">
        <v>33</v>
      </c>
      <c r="K21" s="1">
        <v>0.8</v>
      </c>
    </row>
    <row r="22" spans="1:11" ht="14.5" customHeight="1">
      <c r="A22" s="74">
        <v>34</v>
      </c>
      <c r="B22" s="95">
        <v>46244</v>
      </c>
      <c r="C22" s="95">
        <v>46255</v>
      </c>
      <c r="D22">
        <f>NETWORKDAYS(B22, C22, holiday!$A$2:$A$18)</f>
        <v>9</v>
      </c>
      <c r="E22">
        <f t="shared" si="0"/>
        <v>27</v>
      </c>
      <c r="F22" s="1">
        <f t="shared" si="1"/>
        <v>0.9</v>
      </c>
      <c r="G22" t="s">
        <v>716</v>
      </c>
      <c r="J22">
        <v>34</v>
      </c>
      <c r="K22" s="1">
        <v>0.9</v>
      </c>
    </row>
    <row r="23" spans="1:11" ht="14.5" customHeight="1">
      <c r="A23" s="74">
        <v>35</v>
      </c>
      <c r="B23" s="95">
        <v>46258</v>
      </c>
      <c r="C23" s="95">
        <v>46269</v>
      </c>
      <c r="D23">
        <f>NETWORKDAYS(B23, C23, holiday!$A$2:$A$18)</f>
        <v>10</v>
      </c>
      <c r="E23">
        <f t="shared" si="0"/>
        <v>30</v>
      </c>
      <c r="F23" s="1">
        <f t="shared" si="1"/>
        <v>1</v>
      </c>
      <c r="G23" t="s">
        <v>716</v>
      </c>
      <c r="J23">
        <v>35</v>
      </c>
      <c r="K23" s="1">
        <v>1</v>
      </c>
    </row>
    <row r="24" spans="1:11" ht="14.5" customHeight="1">
      <c r="A24" s="74">
        <v>36</v>
      </c>
      <c r="B24" s="95">
        <v>46272</v>
      </c>
      <c r="C24" s="95">
        <v>46283</v>
      </c>
      <c r="D24">
        <f>NETWORKDAYS(B24, C24, holiday!$A$2:$A$18)</f>
        <v>10</v>
      </c>
      <c r="E24">
        <f t="shared" si="0"/>
        <v>30</v>
      </c>
      <c r="F24" s="1">
        <f t="shared" si="1"/>
        <v>1</v>
      </c>
      <c r="G24" t="s">
        <v>716</v>
      </c>
      <c r="J24">
        <v>36</v>
      </c>
      <c r="K24" s="1">
        <v>1</v>
      </c>
    </row>
    <row r="25" spans="1:11" ht="14.5" customHeight="1">
      <c r="A25" s="74">
        <v>37</v>
      </c>
      <c r="B25" s="95">
        <v>46286</v>
      </c>
      <c r="C25" s="95">
        <v>46297</v>
      </c>
      <c r="D25">
        <f>NETWORKDAYS(B25, C25, holiday!$A$2:$A$18)</f>
        <v>10</v>
      </c>
      <c r="E25">
        <f t="shared" si="0"/>
        <v>30</v>
      </c>
      <c r="F25" s="1">
        <f t="shared" si="1"/>
        <v>1</v>
      </c>
      <c r="G25" t="s">
        <v>716</v>
      </c>
      <c r="J25">
        <v>37</v>
      </c>
      <c r="K25" s="1">
        <v>1</v>
      </c>
    </row>
    <row r="26" spans="1:11" ht="14.5" customHeight="1">
      <c r="A26" s="74">
        <v>38</v>
      </c>
      <c r="B26" s="95">
        <v>46300</v>
      </c>
      <c r="C26" s="95">
        <v>46311</v>
      </c>
      <c r="D26">
        <f>NETWORKDAYS(B26, C26, holiday!$A$2:$A$18)</f>
        <v>9</v>
      </c>
      <c r="E26">
        <f t="shared" si="0"/>
        <v>27</v>
      </c>
      <c r="F26" s="1">
        <f t="shared" si="1"/>
        <v>0.9</v>
      </c>
      <c r="G26" t="s">
        <v>716</v>
      </c>
      <c r="J26">
        <v>38</v>
      </c>
      <c r="K26" s="1">
        <v>0.9</v>
      </c>
    </row>
    <row r="27" spans="1:11" ht="14.5" customHeight="1">
      <c r="A27" s="74">
        <v>39</v>
      </c>
      <c r="B27" s="95">
        <v>46314</v>
      </c>
      <c r="C27" s="95">
        <v>46325</v>
      </c>
      <c r="D27">
        <f>NETWORKDAYS(B27, C27, holiday!$A$2:$A$18)</f>
        <v>9</v>
      </c>
      <c r="E27">
        <f t="shared" si="0"/>
        <v>27</v>
      </c>
      <c r="F27" s="1">
        <f t="shared" si="1"/>
        <v>0.9</v>
      </c>
      <c r="G27" t="s">
        <v>716</v>
      </c>
      <c r="J27">
        <v>39</v>
      </c>
      <c r="K27" s="1">
        <v>0.9</v>
      </c>
    </row>
    <row r="28" spans="1:11" ht="14.5" customHeight="1">
      <c r="A28" s="74">
        <v>40</v>
      </c>
      <c r="B28" s="95">
        <v>46328</v>
      </c>
      <c r="C28" s="95">
        <v>46339</v>
      </c>
      <c r="D28">
        <f>NETWORKDAYS(B28, C28, holiday!$A$2:$A$18)</f>
        <v>10</v>
      </c>
      <c r="E28">
        <f t="shared" si="0"/>
        <v>30</v>
      </c>
      <c r="F28" s="1">
        <f t="shared" si="1"/>
        <v>1</v>
      </c>
      <c r="G28" t="s">
        <v>716</v>
      </c>
      <c r="J28">
        <v>40</v>
      </c>
      <c r="K28" s="1">
        <v>1</v>
      </c>
    </row>
    <row r="29" spans="1:11" ht="14.5" customHeight="1">
      <c r="A29" s="74">
        <v>41</v>
      </c>
      <c r="B29" s="95">
        <v>46342</v>
      </c>
      <c r="C29" s="95">
        <v>46353</v>
      </c>
      <c r="D29">
        <f>NETWORKDAYS(B29, C29, holiday!$A$2:$A$18)</f>
        <v>10</v>
      </c>
      <c r="E29">
        <f t="shared" si="0"/>
        <v>30</v>
      </c>
      <c r="F29" s="1">
        <f t="shared" si="1"/>
        <v>1</v>
      </c>
      <c r="G29" t="s">
        <v>716</v>
      </c>
      <c r="J29">
        <v>41</v>
      </c>
      <c r="K29" s="1">
        <v>1</v>
      </c>
    </row>
    <row r="30" spans="1:11" ht="14.5" customHeight="1">
      <c r="A30" s="74">
        <v>42</v>
      </c>
      <c r="B30" s="95">
        <v>46356</v>
      </c>
      <c r="C30" s="95">
        <v>46367</v>
      </c>
      <c r="D30">
        <f>NETWORKDAYS(B30, C30, holiday!$A$2:$A$18)</f>
        <v>9</v>
      </c>
      <c r="E30">
        <f t="shared" si="0"/>
        <v>27</v>
      </c>
      <c r="F30" s="1">
        <f t="shared" si="1"/>
        <v>0.9</v>
      </c>
      <c r="G30" t="s">
        <v>716</v>
      </c>
      <c r="J30">
        <v>42</v>
      </c>
      <c r="K30" s="1">
        <v>0.9</v>
      </c>
    </row>
    <row r="31" spans="1:11" ht="14.5" customHeight="1">
      <c r="A31" s="74">
        <v>43</v>
      </c>
      <c r="B31" s="95">
        <v>46370</v>
      </c>
      <c r="C31" s="95">
        <v>46381</v>
      </c>
      <c r="D31">
        <f>NETWORKDAYS(B31, C31, holiday!$A$2:$A$18)</f>
        <v>10</v>
      </c>
      <c r="E31">
        <f t="shared" si="0"/>
        <v>30</v>
      </c>
      <c r="F31" s="1">
        <f t="shared" si="1"/>
        <v>1</v>
      </c>
      <c r="G31" t="s">
        <v>716</v>
      </c>
      <c r="J31">
        <v>43</v>
      </c>
      <c r="K31" s="1">
        <v>1</v>
      </c>
    </row>
    <row r="32" spans="1:11" ht="14.5" customHeight="1">
      <c r="A32" s="74">
        <v>44</v>
      </c>
      <c r="B32" s="95">
        <v>46384</v>
      </c>
      <c r="C32" s="95">
        <v>46395</v>
      </c>
      <c r="D32">
        <f>NETWORKDAYS(B32, C32, holiday!$A$2:$A$18)</f>
        <v>9</v>
      </c>
      <c r="E32">
        <f t="shared" si="0"/>
        <v>27</v>
      </c>
      <c r="F32" s="1">
        <f t="shared" si="1"/>
        <v>0.9</v>
      </c>
      <c r="G32" t="s">
        <v>725</v>
      </c>
      <c r="J32">
        <v>44</v>
      </c>
      <c r="K32" s="1">
        <v>0.9</v>
      </c>
    </row>
    <row r="33" spans="10:11" ht="15" customHeight="1">
      <c r="J33" t="s">
        <v>346</v>
      </c>
      <c r="K33" s="1">
        <v>0.92222222222222217</v>
      </c>
    </row>
  </sheetData>
  <conditionalFormatting sqref="E6:E32">
    <cfRule type="dataBar" priority="1">
      <dataBar>
        <cfvo type="min"/>
        <cfvo type="max"/>
        <color rgb="FF63C384"/>
      </dataBar>
    </cfRule>
  </conditionalFormatting>
  <conditionalFormatting sqref="F6:F32">
    <cfRule type="dataBar" priority="2">
      <dataBar>
        <cfvo type="min"/>
        <cfvo type="max"/>
        <color rgb="FF63C384"/>
      </dataBar>
    </cfRule>
  </conditionalFormatting>
  <hyperlinks>
    <hyperlink ref="B3" r:id="rId2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8"/>
  <sheetViews>
    <sheetView workbookViewId="0">
      <selection activeCell="A2" sqref="A2"/>
    </sheetView>
  </sheetViews>
  <sheetFormatPr defaultRowHeight="14.5"/>
  <cols>
    <col min="1" max="1" width="12.54296875" customWidth="1"/>
    <col min="2" max="2" width="27.54296875" bestFit="1" customWidth="1"/>
    <col min="3" max="3" width="50.54296875" customWidth="1"/>
  </cols>
  <sheetData>
    <row r="1" spans="1:2">
      <c r="A1" s="89" t="s">
        <v>726</v>
      </c>
      <c r="B1" s="89" t="s">
        <v>727</v>
      </c>
    </row>
    <row r="2" spans="1:2">
      <c r="A2" s="69">
        <v>46023</v>
      </c>
      <c r="B2" s="71" t="s">
        <v>728</v>
      </c>
    </row>
    <row r="3" spans="1:2">
      <c r="A3" s="69">
        <v>46084</v>
      </c>
      <c r="B3" s="71" t="s">
        <v>729</v>
      </c>
    </row>
    <row r="4" spans="1:2">
      <c r="A4" s="69">
        <v>46118</v>
      </c>
      <c r="B4" s="71" t="s">
        <v>730</v>
      </c>
    </row>
    <row r="5" spans="1:2">
      <c r="A5" s="69">
        <v>46125</v>
      </c>
      <c r="B5" s="71" t="s">
        <v>731</v>
      </c>
    </row>
    <row r="6" spans="1:2">
      <c r="A6" s="69">
        <v>46126</v>
      </c>
      <c r="B6" s="71" t="s">
        <v>731</v>
      </c>
    </row>
    <row r="7" spans="1:2">
      <c r="A7" s="69">
        <v>46127</v>
      </c>
      <c r="B7" s="71" t="s">
        <v>731</v>
      </c>
    </row>
    <row r="8" spans="1:2">
      <c r="A8" s="69">
        <v>46143</v>
      </c>
      <c r="B8" s="71" t="s">
        <v>732</v>
      </c>
    </row>
    <row r="9" spans="1:2">
      <c r="A9" s="69">
        <v>46146</v>
      </c>
      <c r="B9" s="71" t="s">
        <v>733</v>
      </c>
    </row>
    <row r="10" spans="1:2">
      <c r="A10" s="69">
        <v>46174</v>
      </c>
      <c r="B10" s="71" t="s">
        <v>734</v>
      </c>
    </row>
    <row r="11" spans="1:2">
      <c r="A11" s="69">
        <v>46176</v>
      </c>
      <c r="B11" s="71" t="s">
        <v>735</v>
      </c>
    </row>
    <row r="12" spans="1:2">
      <c r="A12" s="69">
        <v>46231</v>
      </c>
      <c r="B12" s="71" t="s">
        <v>736</v>
      </c>
    </row>
    <row r="13" spans="1:2">
      <c r="A13" s="69">
        <v>46232</v>
      </c>
      <c r="B13" s="71" t="s">
        <v>737</v>
      </c>
    </row>
    <row r="14" spans="1:2">
      <c r="A14" s="69">
        <v>46246</v>
      </c>
      <c r="B14" s="71" t="s">
        <v>738</v>
      </c>
    </row>
    <row r="15" spans="1:2">
      <c r="A15" s="69">
        <v>46308</v>
      </c>
      <c r="B15" s="71" t="s">
        <v>739</v>
      </c>
    </row>
    <row r="16" spans="1:2">
      <c r="A16" s="69">
        <v>46318</v>
      </c>
      <c r="B16" s="71" t="s">
        <v>740</v>
      </c>
    </row>
    <row r="17" spans="1:2">
      <c r="A17" s="69">
        <v>46363</v>
      </c>
      <c r="B17" s="71" t="s">
        <v>741</v>
      </c>
    </row>
    <row r="18" spans="1:2">
      <c r="A18" s="69">
        <v>46387</v>
      </c>
      <c r="B18" s="71" t="s">
        <v>742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163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6.54296875" customWidth="1"/>
    <col min="2" max="2" width="33.1796875" bestFit="1" customWidth="1"/>
    <col min="3" max="3" width="15.7265625" customWidth="1"/>
    <col min="4" max="4" width="81" customWidth="1"/>
    <col min="5" max="5" width="13.7265625" bestFit="1" customWidth="1"/>
    <col min="6" max="6" width="11.1796875" style="85" customWidth="1"/>
    <col min="7" max="7" width="10.7265625" style="85" customWidth="1"/>
    <col min="8" max="8" width="29.81640625" style="73" customWidth="1"/>
    <col min="9" max="9" width="20.81640625" style="73" bestFit="1" customWidth="1"/>
    <col min="10" max="10" width="20.81640625" style="73" customWidth="1"/>
    <col min="11" max="11" width="14.26953125" customWidth="1"/>
    <col min="13" max="13" width="15.26953125" bestFit="1" customWidth="1"/>
    <col min="14" max="14" width="29.81640625" bestFit="1" customWidth="1"/>
    <col min="15" max="15" width="17.7265625" customWidth="1"/>
    <col min="16" max="16" width="33.1796875" bestFit="1" customWidth="1"/>
    <col min="17" max="17" width="34.26953125" bestFit="1" customWidth="1"/>
    <col min="18" max="18" width="29.81640625" bestFit="1" customWidth="1"/>
    <col min="19" max="32" width="16.1796875" customWidth="1"/>
    <col min="33" max="34" width="11.7265625" bestFit="1" customWidth="1"/>
  </cols>
  <sheetData>
    <row r="1" spans="1:18">
      <c r="A1" s="145" t="s">
        <v>1</v>
      </c>
      <c r="B1" s="145" t="s">
        <v>273</v>
      </c>
      <c r="C1" s="145" t="s">
        <v>274</v>
      </c>
      <c r="D1" s="145" t="s">
        <v>317</v>
      </c>
      <c r="E1" s="145" t="s">
        <v>15</v>
      </c>
      <c r="F1" s="145" t="s">
        <v>95</v>
      </c>
      <c r="G1" s="145" t="s">
        <v>96</v>
      </c>
      <c r="H1" s="146" t="s">
        <v>275</v>
      </c>
      <c r="I1" s="146" t="s">
        <v>318</v>
      </c>
      <c r="J1" s="146" t="s">
        <v>743</v>
      </c>
      <c r="K1" s="12" t="s">
        <v>744</v>
      </c>
      <c r="M1" s="12" t="s">
        <v>321</v>
      </c>
    </row>
    <row r="2" spans="1:18">
      <c r="A2" s="71" t="s">
        <v>323</v>
      </c>
      <c r="B2" s="71" t="s">
        <v>324</v>
      </c>
      <c r="C2" t="s">
        <v>325</v>
      </c>
      <c r="D2" t="s">
        <v>326</v>
      </c>
      <c r="E2" s="71">
        <v>18</v>
      </c>
      <c r="F2" s="70">
        <f>VLOOKUP(E2, sprintday!$A$6:$C$32, 2, FALSE)</f>
        <v>46027</v>
      </c>
      <c r="G2" s="70">
        <f>VLOOKUP(E2, sprintday!$A$6:$C$32, 3, FALSE)</f>
        <v>46031</v>
      </c>
      <c r="H2" s="86">
        <v>1</v>
      </c>
      <c r="I2" s="86" t="s">
        <v>327</v>
      </c>
      <c r="J2" s="86"/>
      <c r="K2" s="71" t="s">
        <v>328</v>
      </c>
      <c r="M2" s="84" t="s">
        <v>1</v>
      </c>
      <c r="N2" s="84" t="s">
        <v>15</v>
      </c>
      <c r="O2" s="84" t="s">
        <v>95</v>
      </c>
      <c r="P2" s="84" t="s">
        <v>96</v>
      </c>
      <c r="Q2" s="84" t="s">
        <v>273</v>
      </c>
      <c r="R2" t="s">
        <v>329</v>
      </c>
    </row>
    <row r="3" spans="1:18">
      <c r="A3" s="71" t="s">
        <v>323</v>
      </c>
      <c r="B3" s="71" t="s">
        <v>324</v>
      </c>
      <c r="C3" t="s">
        <v>331</v>
      </c>
      <c r="D3" t="s">
        <v>332</v>
      </c>
      <c r="E3" s="71">
        <v>18</v>
      </c>
      <c r="F3" s="70">
        <f>VLOOKUP(E3, sprintday!$A$6:$C$32, 2, FALSE)</f>
        <v>46027</v>
      </c>
      <c r="G3" s="70">
        <f>VLOOKUP(E3, sprintday!$A$6:$C$32, 3, FALSE)</f>
        <v>46031</v>
      </c>
      <c r="H3" s="87">
        <v>1</v>
      </c>
      <c r="I3" s="86" t="s">
        <v>327</v>
      </c>
      <c r="J3" s="86"/>
      <c r="K3" s="71" t="s">
        <v>328</v>
      </c>
      <c r="M3" t="s">
        <v>323</v>
      </c>
      <c r="R3">
        <v>90</v>
      </c>
    </row>
    <row r="4" spans="1:18">
      <c r="A4" s="71" t="s">
        <v>323</v>
      </c>
      <c r="B4" s="71" t="s">
        <v>324</v>
      </c>
      <c r="C4" t="s">
        <v>333</v>
      </c>
      <c r="D4" t="s">
        <v>334</v>
      </c>
      <c r="E4" s="71">
        <v>18</v>
      </c>
      <c r="F4" s="70">
        <f>VLOOKUP(E4, sprintday!$A$6:$C$32, 2, FALSE)</f>
        <v>46027</v>
      </c>
      <c r="G4" s="70">
        <f>VLOOKUP(E4, sprintday!$A$6:$C$32, 3, FALSE)</f>
        <v>46031</v>
      </c>
      <c r="H4" s="87">
        <v>1</v>
      </c>
      <c r="I4" s="86" t="s">
        <v>327</v>
      </c>
      <c r="J4" s="86"/>
      <c r="K4" s="71" t="s">
        <v>328</v>
      </c>
      <c r="N4">
        <v>18</v>
      </c>
      <c r="O4" s="36">
        <v>46027</v>
      </c>
      <c r="P4" s="36">
        <v>46031</v>
      </c>
      <c r="Q4" t="s">
        <v>324</v>
      </c>
      <c r="R4">
        <v>8</v>
      </c>
    </row>
    <row r="5" spans="1:18">
      <c r="A5" s="71" t="s">
        <v>323</v>
      </c>
      <c r="B5" s="71" t="s">
        <v>324</v>
      </c>
      <c r="C5" t="s">
        <v>336</v>
      </c>
      <c r="D5" t="s">
        <v>337</v>
      </c>
      <c r="E5" s="71">
        <v>18</v>
      </c>
      <c r="F5" s="70">
        <f>VLOOKUP(E5, sprintday!$A$6:$C$32, 2, FALSE)</f>
        <v>46027</v>
      </c>
      <c r="G5" s="70">
        <f>VLOOKUP(E5, sprintday!$A$6:$C$32, 3, FALSE)</f>
        <v>46031</v>
      </c>
      <c r="H5" s="87">
        <v>1</v>
      </c>
      <c r="I5" s="86" t="s">
        <v>327</v>
      </c>
      <c r="J5" s="86"/>
      <c r="K5" s="71" t="s">
        <v>328</v>
      </c>
      <c r="N5">
        <v>19</v>
      </c>
      <c r="O5" s="36">
        <v>46034</v>
      </c>
      <c r="P5" s="36">
        <v>46045</v>
      </c>
      <c r="Q5" t="s">
        <v>324</v>
      </c>
      <c r="R5">
        <v>14</v>
      </c>
    </row>
    <row r="6" spans="1:18">
      <c r="A6" s="71" t="s">
        <v>323</v>
      </c>
      <c r="B6" s="71" t="s">
        <v>324</v>
      </c>
      <c r="C6" t="s">
        <v>339</v>
      </c>
      <c r="D6" t="s">
        <v>340</v>
      </c>
      <c r="E6" s="71">
        <v>18</v>
      </c>
      <c r="F6" s="70">
        <f>VLOOKUP(E6, sprintday!$A$6:$C$32, 2, FALSE)</f>
        <v>46027</v>
      </c>
      <c r="G6" s="70">
        <f>VLOOKUP(E6, sprintday!$A$6:$C$32, 3, FALSE)</f>
        <v>46031</v>
      </c>
      <c r="H6" s="87">
        <v>1</v>
      </c>
      <c r="I6" s="86" t="s">
        <v>327</v>
      </c>
      <c r="J6" s="86"/>
      <c r="K6" s="71" t="s">
        <v>341</v>
      </c>
      <c r="N6">
        <v>20</v>
      </c>
      <c r="O6" s="36">
        <v>46048</v>
      </c>
      <c r="P6" s="36">
        <v>46059</v>
      </c>
      <c r="Q6" t="s">
        <v>342</v>
      </c>
      <c r="R6">
        <v>14</v>
      </c>
    </row>
    <row r="7" spans="1:18">
      <c r="A7" s="71" t="s">
        <v>323</v>
      </c>
      <c r="B7" s="71" t="s">
        <v>324</v>
      </c>
      <c r="C7" t="s">
        <v>344</v>
      </c>
      <c r="D7" t="s">
        <v>345</v>
      </c>
      <c r="E7" s="71">
        <v>18</v>
      </c>
      <c r="F7" s="70">
        <f>VLOOKUP(E7, sprintday!$A$6:$C$32, 2, FALSE)</f>
        <v>46027</v>
      </c>
      <c r="G7" s="70">
        <f>VLOOKUP(E7, sprintday!$A$6:$C$32, 3, FALSE)</f>
        <v>46031</v>
      </c>
      <c r="H7" s="87">
        <v>1</v>
      </c>
      <c r="I7" s="86" t="s">
        <v>327</v>
      </c>
      <c r="J7" s="86"/>
      <c r="K7" s="71" t="s">
        <v>341</v>
      </c>
      <c r="N7">
        <v>21</v>
      </c>
      <c r="O7" s="36">
        <v>46062</v>
      </c>
      <c r="P7" s="36">
        <v>46073</v>
      </c>
      <c r="Q7" t="s">
        <v>342</v>
      </c>
      <c r="R7">
        <v>8</v>
      </c>
    </row>
    <row r="8" spans="1:18">
      <c r="A8" s="71" t="s">
        <v>323</v>
      </c>
      <c r="B8" s="71" t="s">
        <v>324</v>
      </c>
      <c r="C8" t="s">
        <v>347</v>
      </c>
      <c r="D8" t="s">
        <v>348</v>
      </c>
      <c r="E8" s="71">
        <v>18</v>
      </c>
      <c r="F8" s="70">
        <f>VLOOKUP(E8, sprintday!$A$6:$C$32, 2, FALSE)</f>
        <v>46027</v>
      </c>
      <c r="G8" s="70">
        <f>VLOOKUP(E8, sprintday!$A$6:$C$32, 3, FALSE)</f>
        <v>46031</v>
      </c>
      <c r="H8" s="87">
        <v>1</v>
      </c>
      <c r="I8" s="86" t="s">
        <v>327</v>
      </c>
      <c r="J8" s="86"/>
      <c r="K8" s="71" t="s">
        <v>341</v>
      </c>
      <c r="N8">
        <v>22</v>
      </c>
      <c r="O8" s="36">
        <v>46076</v>
      </c>
      <c r="P8" s="36">
        <v>46087</v>
      </c>
      <c r="Q8" t="s">
        <v>349</v>
      </c>
      <c r="R8">
        <v>7</v>
      </c>
    </row>
    <row r="9" spans="1:18">
      <c r="A9" s="71" t="s">
        <v>323</v>
      </c>
      <c r="B9" s="71" t="s">
        <v>324</v>
      </c>
      <c r="C9" t="s">
        <v>350</v>
      </c>
      <c r="D9" t="s">
        <v>351</v>
      </c>
      <c r="E9" s="71">
        <v>18</v>
      </c>
      <c r="F9" s="70">
        <f>VLOOKUP(E9, sprintday!$A$6:$C$32, 2, FALSE)</f>
        <v>46027</v>
      </c>
      <c r="G9" s="70">
        <f>VLOOKUP(E9, sprintday!$A$6:$C$32, 3, FALSE)</f>
        <v>46031</v>
      </c>
      <c r="H9" s="87">
        <v>1</v>
      </c>
      <c r="I9" s="86" t="s">
        <v>327</v>
      </c>
      <c r="J9" s="86"/>
      <c r="K9" s="71" t="s">
        <v>341</v>
      </c>
      <c r="Q9" t="s">
        <v>342</v>
      </c>
      <c r="R9">
        <v>4</v>
      </c>
    </row>
    <row r="10" spans="1:18">
      <c r="A10" s="71" t="s">
        <v>323</v>
      </c>
      <c r="B10" s="71" t="s">
        <v>324</v>
      </c>
      <c r="C10" t="s">
        <v>352</v>
      </c>
      <c r="D10" t="s">
        <v>200</v>
      </c>
      <c r="E10" s="71">
        <v>19</v>
      </c>
      <c r="F10" s="70">
        <f>VLOOKUP(E10, sprintday!$A$6:$C$32, 2, FALSE)</f>
        <v>46034</v>
      </c>
      <c r="G10" s="70">
        <f>VLOOKUP(E10, sprintday!$A$6:$C$32, 3, FALSE)</f>
        <v>46045</v>
      </c>
      <c r="H10" s="87">
        <v>1</v>
      </c>
      <c r="I10" s="86" t="s">
        <v>327</v>
      </c>
      <c r="J10" s="86"/>
      <c r="N10">
        <v>23</v>
      </c>
      <c r="O10" s="36">
        <v>46090</v>
      </c>
      <c r="R10">
        <v>7</v>
      </c>
    </row>
    <row r="11" spans="1:18">
      <c r="A11" s="71" t="s">
        <v>323</v>
      </c>
      <c r="B11" s="71" t="s">
        <v>324</v>
      </c>
      <c r="C11" t="s">
        <v>353</v>
      </c>
      <c r="D11" t="s">
        <v>201</v>
      </c>
      <c r="E11" s="71">
        <v>19</v>
      </c>
      <c r="F11" s="70">
        <f>VLOOKUP(E11, sprintday!$A$6:$C$32, 2, FALSE)</f>
        <v>46034</v>
      </c>
      <c r="G11" s="70">
        <f>VLOOKUP(E11, sprintday!$A$6:$C$32, 3, FALSE)</f>
        <v>46045</v>
      </c>
      <c r="H11" s="87">
        <v>1</v>
      </c>
      <c r="I11" s="86" t="s">
        <v>327</v>
      </c>
      <c r="J11" s="86"/>
      <c r="N11">
        <v>24</v>
      </c>
      <c r="O11" s="36">
        <v>46104</v>
      </c>
      <c r="P11" s="36">
        <v>46115</v>
      </c>
      <c r="Q11" t="s">
        <v>342</v>
      </c>
      <c r="R11">
        <v>11</v>
      </c>
    </row>
    <row r="12" spans="1:18">
      <c r="A12" s="71" t="s">
        <v>323</v>
      </c>
      <c r="B12" s="71" t="s">
        <v>324</v>
      </c>
      <c r="C12" t="s">
        <v>354</v>
      </c>
      <c r="D12" t="s">
        <v>355</v>
      </c>
      <c r="E12" s="71">
        <v>19</v>
      </c>
      <c r="F12" s="70">
        <f>VLOOKUP(E12, sprintday!$A$6:$C$32, 2, FALSE)</f>
        <v>46034</v>
      </c>
      <c r="G12" s="70">
        <f>VLOOKUP(E12, sprintday!$A$6:$C$32, 3, FALSE)</f>
        <v>46045</v>
      </c>
      <c r="H12" s="87">
        <v>1</v>
      </c>
      <c r="I12" s="86" t="s">
        <v>327</v>
      </c>
      <c r="J12" s="86"/>
      <c r="N12">
        <v>25</v>
      </c>
      <c r="O12" s="36">
        <v>46118</v>
      </c>
      <c r="P12" s="36">
        <v>46129</v>
      </c>
      <c r="Q12" t="s">
        <v>342</v>
      </c>
      <c r="R12">
        <v>5</v>
      </c>
    </row>
    <row r="13" spans="1:18">
      <c r="A13" s="71" t="s">
        <v>323</v>
      </c>
      <c r="B13" s="71" t="s">
        <v>324</v>
      </c>
      <c r="C13" t="s">
        <v>356</v>
      </c>
      <c r="D13" t="s">
        <v>357</v>
      </c>
      <c r="E13" s="71">
        <v>19</v>
      </c>
      <c r="F13" s="70">
        <f>VLOOKUP(E13, sprintday!$A$6:$C$32, 2, FALSE)</f>
        <v>46034</v>
      </c>
      <c r="G13" s="70">
        <f>VLOOKUP(E13, sprintday!$A$6:$C$32, 3, FALSE)</f>
        <v>46045</v>
      </c>
      <c r="H13" s="87">
        <v>1</v>
      </c>
      <c r="I13" s="86" t="s">
        <v>327</v>
      </c>
      <c r="J13" s="86"/>
      <c r="N13">
        <v>26</v>
      </c>
      <c r="O13" s="36">
        <v>46132</v>
      </c>
      <c r="P13" s="36">
        <v>46143</v>
      </c>
      <c r="Q13" t="s">
        <v>342</v>
      </c>
      <c r="R13">
        <v>6</v>
      </c>
    </row>
    <row r="14" spans="1:18">
      <c r="A14" s="71" t="s">
        <v>323</v>
      </c>
      <c r="B14" s="71" t="s">
        <v>324</v>
      </c>
      <c r="C14" t="s">
        <v>358</v>
      </c>
      <c r="D14" t="s">
        <v>359</v>
      </c>
      <c r="E14" s="71">
        <v>19</v>
      </c>
      <c r="F14" s="70">
        <f>VLOOKUP(E14, sprintday!$A$6:$C$32, 2, FALSE)</f>
        <v>46034</v>
      </c>
      <c r="G14" s="70">
        <f>VLOOKUP(E14, sprintday!$A$6:$C$32, 3, FALSE)</f>
        <v>46045</v>
      </c>
      <c r="H14" s="87">
        <v>1</v>
      </c>
      <c r="I14" s="86" t="s">
        <v>327</v>
      </c>
      <c r="J14" s="86"/>
      <c r="N14">
        <v>27</v>
      </c>
      <c r="O14" s="36">
        <v>46146</v>
      </c>
      <c r="P14" s="36">
        <v>46157</v>
      </c>
      <c r="Q14" t="s">
        <v>342</v>
      </c>
      <c r="R14">
        <v>5</v>
      </c>
    </row>
    <row r="15" spans="1:18">
      <c r="A15" s="71" t="s">
        <v>323</v>
      </c>
      <c r="B15" s="71" t="s">
        <v>324</v>
      </c>
      <c r="C15" t="s">
        <v>360</v>
      </c>
      <c r="D15" t="s">
        <v>361</v>
      </c>
      <c r="E15" s="71">
        <v>19</v>
      </c>
      <c r="F15" s="70">
        <f>VLOOKUP(E15, sprintday!$A$6:$C$32, 2, FALSE)</f>
        <v>46034</v>
      </c>
      <c r="G15" s="70">
        <f>VLOOKUP(E15, sprintday!$A$6:$C$32, 3, FALSE)</f>
        <v>46045</v>
      </c>
      <c r="H15" s="87">
        <v>1</v>
      </c>
      <c r="I15" s="86" t="s">
        <v>327</v>
      </c>
      <c r="J15" s="86"/>
      <c r="N15">
        <v>29</v>
      </c>
      <c r="O15" s="36">
        <v>46174</v>
      </c>
      <c r="P15" s="36">
        <v>46185</v>
      </c>
      <c r="Q15" t="s">
        <v>349</v>
      </c>
      <c r="R15">
        <v>1</v>
      </c>
    </row>
    <row r="16" spans="1:18">
      <c r="A16" s="71" t="s">
        <v>323</v>
      </c>
      <c r="B16" s="71" t="s">
        <v>324</v>
      </c>
      <c r="C16" t="s">
        <v>362</v>
      </c>
      <c r="D16" t="s">
        <v>363</v>
      </c>
      <c r="E16" s="71">
        <v>19</v>
      </c>
      <c r="F16" s="70">
        <f>VLOOKUP(E16, sprintday!$A$6:$C$32, 2, FALSE)</f>
        <v>46034</v>
      </c>
      <c r="G16" s="70">
        <f>VLOOKUP(E16, sprintday!$A$6:$C$32, 3, FALSE)</f>
        <v>46045</v>
      </c>
      <c r="H16" s="87">
        <v>1</v>
      </c>
      <c r="I16" s="86" t="s">
        <v>327</v>
      </c>
      <c r="J16" s="86"/>
      <c r="M16" t="s">
        <v>338</v>
      </c>
      <c r="R16">
        <v>57</v>
      </c>
    </row>
    <row r="17" spans="1:20">
      <c r="A17" s="71" t="s">
        <v>323</v>
      </c>
      <c r="B17" s="71" t="s">
        <v>324</v>
      </c>
      <c r="C17" t="s">
        <v>364</v>
      </c>
      <c r="D17" t="s">
        <v>365</v>
      </c>
      <c r="E17" s="71">
        <v>19</v>
      </c>
      <c r="F17" s="70">
        <f>VLOOKUP(E17, sprintday!$A$6:$C$32, 2, FALSE)</f>
        <v>46034</v>
      </c>
      <c r="G17" s="70">
        <f>VLOOKUP(E17, sprintday!$A$6:$C$32, 3, FALSE)</f>
        <v>46045</v>
      </c>
      <c r="H17" s="87">
        <v>1</v>
      </c>
      <c r="I17" s="86" t="s">
        <v>327</v>
      </c>
      <c r="J17" s="86"/>
      <c r="N17">
        <v>27</v>
      </c>
      <c r="O17" s="36">
        <v>46146</v>
      </c>
      <c r="P17" s="36">
        <v>46157</v>
      </c>
      <c r="Q17" t="s">
        <v>169</v>
      </c>
      <c r="R17">
        <v>6</v>
      </c>
    </row>
    <row r="18" spans="1:20">
      <c r="A18" s="71" t="s">
        <v>323</v>
      </c>
      <c r="B18" s="71" t="s">
        <v>324</v>
      </c>
      <c r="C18" t="s">
        <v>366</v>
      </c>
      <c r="D18" t="s">
        <v>367</v>
      </c>
      <c r="E18" s="71">
        <v>19</v>
      </c>
      <c r="F18" s="70">
        <f>VLOOKUP(E18, sprintday!$A$6:$C$32, 2, FALSE)</f>
        <v>46034</v>
      </c>
      <c r="G18" s="70">
        <f>VLOOKUP(E18, sprintday!$A$6:$C$32, 3, FALSE)</f>
        <v>46045</v>
      </c>
      <c r="H18" s="87">
        <v>1</v>
      </c>
      <c r="I18" s="86" t="s">
        <v>327</v>
      </c>
      <c r="J18" s="86"/>
      <c r="N18">
        <v>28</v>
      </c>
      <c r="O18" s="36">
        <v>46160</v>
      </c>
      <c r="P18" s="36">
        <v>46171</v>
      </c>
      <c r="Q18" t="s">
        <v>169</v>
      </c>
      <c r="R18">
        <v>10</v>
      </c>
    </row>
    <row r="19" spans="1:20">
      <c r="A19" s="71" t="s">
        <v>323</v>
      </c>
      <c r="B19" s="71" t="s">
        <v>324</v>
      </c>
      <c r="C19" t="s">
        <v>368</v>
      </c>
      <c r="D19" t="s">
        <v>369</v>
      </c>
      <c r="E19" s="71">
        <v>19</v>
      </c>
      <c r="F19" s="70">
        <f>VLOOKUP(E19, sprintday!$A$6:$C$32, 2, FALSE)</f>
        <v>46034</v>
      </c>
      <c r="G19" s="70">
        <f>VLOOKUP(E19, sprintday!$A$6:$C$32, 3, FALSE)</f>
        <v>46045</v>
      </c>
      <c r="H19" s="87">
        <v>1</v>
      </c>
      <c r="I19" s="86" t="s">
        <v>327</v>
      </c>
      <c r="J19" s="86"/>
      <c r="N19">
        <v>29</v>
      </c>
      <c r="O19" s="36">
        <v>46174</v>
      </c>
      <c r="P19" s="36">
        <v>46185</v>
      </c>
      <c r="Q19" t="s">
        <v>169</v>
      </c>
      <c r="R19">
        <v>7</v>
      </c>
    </row>
    <row r="20" spans="1:20">
      <c r="A20" s="71" t="s">
        <v>323</v>
      </c>
      <c r="B20" s="71" t="s">
        <v>324</v>
      </c>
      <c r="C20" t="s">
        <v>370</v>
      </c>
      <c r="D20" t="s">
        <v>371</v>
      </c>
      <c r="E20" s="71">
        <v>19</v>
      </c>
      <c r="F20" s="70">
        <f>VLOOKUP(E20, sprintday!$A$6:$C$32, 2, FALSE)</f>
        <v>46034</v>
      </c>
      <c r="G20" s="70">
        <f>VLOOKUP(E20, sprintday!$A$6:$C$32, 3, FALSE)</f>
        <v>46045</v>
      </c>
      <c r="H20" s="87">
        <v>1</v>
      </c>
      <c r="I20" s="86" t="s">
        <v>327</v>
      </c>
      <c r="J20" s="86"/>
      <c r="N20">
        <v>30</v>
      </c>
      <c r="O20" s="36">
        <v>46188</v>
      </c>
      <c r="P20" s="36">
        <v>46199</v>
      </c>
      <c r="Q20" t="s">
        <v>169</v>
      </c>
      <c r="R20">
        <v>4</v>
      </c>
      <c r="T20" t="s">
        <v>323</v>
      </c>
    </row>
    <row r="21" spans="1:20">
      <c r="A21" s="71" t="s">
        <v>323</v>
      </c>
      <c r="B21" s="71" t="s">
        <v>324</v>
      </c>
      <c r="C21" t="s">
        <v>372</v>
      </c>
      <c r="D21" t="s">
        <v>373</v>
      </c>
      <c r="E21" s="71">
        <v>19</v>
      </c>
      <c r="F21" s="70">
        <f>VLOOKUP(E21, sprintday!$A$6:$C$32, 2, FALSE)</f>
        <v>46034</v>
      </c>
      <c r="G21" s="70">
        <f>VLOOKUP(E21, sprintday!$A$6:$C$32, 3, FALSE)</f>
        <v>46045</v>
      </c>
      <c r="H21" s="87">
        <v>1</v>
      </c>
      <c r="I21" s="86" t="s">
        <v>327</v>
      </c>
      <c r="J21" s="86"/>
      <c r="N21">
        <v>31</v>
      </c>
      <c r="O21" s="36">
        <v>46202</v>
      </c>
      <c r="P21" s="36">
        <v>46213</v>
      </c>
      <c r="Q21" t="s">
        <v>374</v>
      </c>
      <c r="R21">
        <v>2</v>
      </c>
      <c r="T21" t="s">
        <v>338</v>
      </c>
    </row>
    <row r="22" spans="1:20">
      <c r="A22" s="71" t="s">
        <v>323</v>
      </c>
      <c r="B22" s="71" t="s">
        <v>324</v>
      </c>
      <c r="C22" t="s">
        <v>375</v>
      </c>
      <c r="D22" t="s">
        <v>376</v>
      </c>
      <c r="E22" s="71">
        <v>19</v>
      </c>
      <c r="F22" s="70">
        <f>VLOOKUP(E22, sprintday!$A$6:$C$32, 2, FALSE)</f>
        <v>46034</v>
      </c>
      <c r="G22" s="70">
        <f>VLOOKUP(E22, sprintday!$A$6:$C$32, 3, FALSE)</f>
        <v>46045</v>
      </c>
      <c r="H22" s="87">
        <v>1</v>
      </c>
      <c r="I22" s="86" t="s">
        <v>327</v>
      </c>
      <c r="J22" s="86"/>
      <c r="Q22" t="s">
        <v>169</v>
      </c>
      <c r="R22">
        <v>3</v>
      </c>
      <c r="T22" t="s">
        <v>343</v>
      </c>
    </row>
    <row r="23" spans="1:20">
      <c r="A23" s="71" t="s">
        <v>323</v>
      </c>
      <c r="B23" s="71" t="s">
        <v>324</v>
      </c>
      <c r="C23" t="s">
        <v>377</v>
      </c>
      <c r="D23" t="s">
        <v>378</v>
      </c>
      <c r="E23" s="71">
        <v>19</v>
      </c>
      <c r="F23" s="70">
        <f>VLOOKUP(E23, sprintday!$A$6:$C$32, 2, FALSE)</f>
        <v>46034</v>
      </c>
      <c r="G23" s="70">
        <f>VLOOKUP(E23, sprintday!$A$6:$C$32, 3, FALSE)</f>
        <v>46045</v>
      </c>
      <c r="H23" s="87">
        <v>1</v>
      </c>
      <c r="I23" s="86" t="s">
        <v>327</v>
      </c>
      <c r="J23" s="86"/>
      <c r="N23">
        <v>32</v>
      </c>
      <c r="O23" s="36">
        <v>46216</v>
      </c>
      <c r="P23" s="36">
        <v>46227</v>
      </c>
      <c r="Q23" t="s">
        <v>374</v>
      </c>
      <c r="R23">
        <v>14</v>
      </c>
      <c r="T23" t="s">
        <v>335</v>
      </c>
    </row>
    <row r="24" spans="1:20">
      <c r="A24" s="71" t="s">
        <v>323</v>
      </c>
      <c r="B24" t="s">
        <v>342</v>
      </c>
      <c r="C24" t="s">
        <v>379</v>
      </c>
      <c r="D24" t="s">
        <v>199</v>
      </c>
      <c r="E24">
        <v>20</v>
      </c>
      <c r="F24" s="70">
        <f>VLOOKUP(E24, sprintday!$A$6:$C$32, 2, FALSE)</f>
        <v>46048</v>
      </c>
      <c r="G24" s="70">
        <f>VLOOKUP(E24, sprintday!$A$6:$C$32, 3, FALSE)</f>
        <v>46059</v>
      </c>
      <c r="H24" s="87">
        <v>1</v>
      </c>
      <c r="I24" s="86" t="s">
        <v>327</v>
      </c>
      <c r="J24" s="86"/>
      <c r="Q24" t="s">
        <v>294</v>
      </c>
      <c r="R24">
        <v>1</v>
      </c>
    </row>
    <row r="25" spans="1:20">
      <c r="A25" s="71" t="s">
        <v>323</v>
      </c>
      <c r="B25" t="s">
        <v>342</v>
      </c>
      <c r="C25" t="s">
        <v>380</v>
      </c>
      <c r="D25" t="s">
        <v>381</v>
      </c>
      <c r="E25">
        <v>20</v>
      </c>
      <c r="F25" s="70">
        <f>VLOOKUP(E25, sprintday!$A$6:$C$32, 2, FALSE)</f>
        <v>46048</v>
      </c>
      <c r="G25" s="70">
        <f>VLOOKUP(E25, sprintday!$A$6:$C$32, 3, FALSE)</f>
        <v>46059</v>
      </c>
      <c r="H25" s="87">
        <v>1</v>
      </c>
      <c r="I25" s="86" t="s">
        <v>327</v>
      </c>
      <c r="J25" s="86"/>
      <c r="N25">
        <v>33</v>
      </c>
      <c r="O25" s="36">
        <v>46230</v>
      </c>
      <c r="P25" s="36">
        <v>46241</v>
      </c>
      <c r="Q25" t="s">
        <v>296</v>
      </c>
      <c r="R25">
        <v>2</v>
      </c>
    </row>
    <row r="26" spans="1:20">
      <c r="A26" s="71" t="s">
        <v>323</v>
      </c>
      <c r="B26" t="s">
        <v>342</v>
      </c>
      <c r="C26" t="s">
        <v>382</v>
      </c>
      <c r="D26" t="s">
        <v>383</v>
      </c>
      <c r="E26">
        <v>20</v>
      </c>
      <c r="F26" s="70">
        <f>VLOOKUP(E26, sprintday!$A$6:$C$32, 2, FALSE)</f>
        <v>46048</v>
      </c>
      <c r="G26" s="70">
        <f>VLOOKUP(E26, sprintday!$A$6:$C$32, 3, FALSE)</f>
        <v>46059</v>
      </c>
      <c r="H26" s="87">
        <v>1</v>
      </c>
      <c r="I26" s="86" t="s">
        <v>327</v>
      </c>
      <c r="J26" s="86"/>
      <c r="Q26" t="s">
        <v>294</v>
      </c>
      <c r="R26">
        <v>1</v>
      </c>
    </row>
    <row r="27" spans="1:20">
      <c r="A27" s="71" t="s">
        <v>323</v>
      </c>
      <c r="B27" t="s">
        <v>342</v>
      </c>
      <c r="C27" t="s">
        <v>384</v>
      </c>
      <c r="D27" t="s">
        <v>385</v>
      </c>
      <c r="E27">
        <v>20</v>
      </c>
      <c r="F27" s="70">
        <f>VLOOKUP(E27, sprintday!$A$6:$C$32, 2, FALSE)</f>
        <v>46048</v>
      </c>
      <c r="G27" s="70">
        <f>VLOOKUP(E27, sprintday!$A$6:$C$32, 3, FALSE)</f>
        <v>46059</v>
      </c>
      <c r="H27" s="87">
        <v>1</v>
      </c>
      <c r="I27" s="86" t="s">
        <v>327</v>
      </c>
      <c r="J27" s="86"/>
      <c r="N27">
        <v>34</v>
      </c>
      <c r="O27" s="36">
        <v>46244</v>
      </c>
      <c r="P27" s="36">
        <v>46255</v>
      </c>
      <c r="Q27" t="s">
        <v>296</v>
      </c>
      <c r="R27">
        <v>2</v>
      </c>
    </row>
    <row r="28" spans="1:20">
      <c r="A28" s="71" t="s">
        <v>323</v>
      </c>
      <c r="B28" t="s">
        <v>342</v>
      </c>
      <c r="C28" t="s">
        <v>386</v>
      </c>
      <c r="D28" t="s">
        <v>387</v>
      </c>
      <c r="E28">
        <v>20</v>
      </c>
      <c r="F28" s="70">
        <f>VLOOKUP(E28, sprintday!$A$6:$C$32, 2, FALSE)</f>
        <v>46048</v>
      </c>
      <c r="G28" s="70">
        <f>VLOOKUP(E28, sprintday!$A$6:$C$32, 3, FALSE)</f>
        <v>46059</v>
      </c>
      <c r="H28" s="87">
        <v>1</v>
      </c>
      <c r="I28" s="86" t="s">
        <v>327</v>
      </c>
      <c r="J28" s="86"/>
      <c r="Q28" t="s">
        <v>298</v>
      </c>
      <c r="R28">
        <v>1</v>
      </c>
    </row>
    <row r="29" spans="1:20">
      <c r="A29" s="71" t="s">
        <v>323</v>
      </c>
      <c r="B29" t="s">
        <v>342</v>
      </c>
      <c r="C29" t="s">
        <v>388</v>
      </c>
      <c r="D29" t="s">
        <v>389</v>
      </c>
      <c r="E29">
        <v>20</v>
      </c>
      <c r="F29" s="70">
        <f>VLOOKUP(E29, sprintday!$A$6:$C$32, 2, FALSE)</f>
        <v>46048</v>
      </c>
      <c r="G29" s="70">
        <f>VLOOKUP(E29, sprintday!$A$6:$C$32, 3, FALSE)</f>
        <v>46059</v>
      </c>
      <c r="H29" s="87">
        <v>1</v>
      </c>
      <c r="I29" s="86" t="s">
        <v>327</v>
      </c>
      <c r="J29" s="86"/>
      <c r="N29">
        <v>35</v>
      </c>
      <c r="O29" s="36">
        <v>46258</v>
      </c>
      <c r="P29" s="36">
        <v>46269</v>
      </c>
      <c r="Q29" t="s">
        <v>300</v>
      </c>
      <c r="R29">
        <v>2</v>
      </c>
    </row>
    <row r="30" spans="1:20">
      <c r="A30" s="71" t="s">
        <v>323</v>
      </c>
      <c r="B30" t="s">
        <v>342</v>
      </c>
      <c r="C30" t="s">
        <v>390</v>
      </c>
      <c r="D30" t="s">
        <v>391</v>
      </c>
      <c r="E30">
        <v>20</v>
      </c>
      <c r="F30" s="70">
        <f>VLOOKUP(E30, sprintday!$A$6:$C$32, 2, FALSE)</f>
        <v>46048</v>
      </c>
      <c r="G30" s="70">
        <f>VLOOKUP(E30, sprintday!$A$6:$C$32, 3, FALSE)</f>
        <v>46059</v>
      </c>
      <c r="H30" s="87">
        <v>1</v>
      </c>
      <c r="I30" s="86" t="s">
        <v>327</v>
      </c>
      <c r="J30" s="86"/>
      <c r="Q30" t="s">
        <v>298</v>
      </c>
      <c r="R30">
        <v>2</v>
      </c>
    </row>
    <row r="31" spans="1:20">
      <c r="A31" s="71" t="s">
        <v>323</v>
      </c>
      <c r="B31" t="s">
        <v>342</v>
      </c>
      <c r="C31" t="s">
        <v>392</v>
      </c>
      <c r="D31" t="s">
        <v>393</v>
      </c>
      <c r="E31">
        <v>20</v>
      </c>
      <c r="F31" s="70">
        <f>VLOOKUP(E31, sprintday!$A$6:$C$32, 2, FALSE)</f>
        <v>46048</v>
      </c>
      <c r="G31" s="70">
        <f>VLOOKUP(E31, sprintday!$A$6:$C$32, 3, FALSE)</f>
        <v>46059</v>
      </c>
      <c r="H31" s="87">
        <v>1</v>
      </c>
      <c r="I31" s="86" t="s">
        <v>327</v>
      </c>
      <c r="J31" s="86"/>
      <c r="M31" t="s">
        <v>335</v>
      </c>
      <c r="R31">
        <v>2</v>
      </c>
    </row>
    <row r="32" spans="1:20">
      <c r="A32" s="71" t="s">
        <v>323</v>
      </c>
      <c r="B32" t="s">
        <v>342</v>
      </c>
      <c r="C32" t="s">
        <v>394</v>
      </c>
      <c r="D32" t="s">
        <v>395</v>
      </c>
      <c r="E32">
        <v>20</v>
      </c>
      <c r="F32" s="70">
        <f>VLOOKUP(E32, sprintday!$A$6:$C$32, 2, FALSE)</f>
        <v>46048</v>
      </c>
      <c r="G32" s="70">
        <f>VLOOKUP(E32, sprintday!$A$6:$C$32, 3, FALSE)</f>
        <v>46059</v>
      </c>
      <c r="H32" s="87">
        <v>1</v>
      </c>
      <c r="I32" s="86" t="s">
        <v>327</v>
      </c>
      <c r="J32" s="86"/>
      <c r="N32">
        <v>42</v>
      </c>
      <c r="O32" s="36">
        <v>46356</v>
      </c>
      <c r="P32" s="36">
        <v>46367</v>
      </c>
      <c r="Q32" t="s">
        <v>305</v>
      </c>
      <c r="R32">
        <v>1</v>
      </c>
    </row>
    <row r="33" spans="1:18">
      <c r="A33" s="71" t="s">
        <v>323</v>
      </c>
      <c r="B33" t="s">
        <v>342</v>
      </c>
      <c r="C33" t="s">
        <v>396</v>
      </c>
      <c r="D33" t="s">
        <v>397</v>
      </c>
      <c r="E33">
        <v>20</v>
      </c>
      <c r="F33" s="70">
        <f>VLOOKUP(E33, sprintday!$A$6:$C$32, 2, FALSE)</f>
        <v>46048</v>
      </c>
      <c r="G33" s="70">
        <f>VLOOKUP(E33, sprintday!$A$6:$C$32, 3, FALSE)</f>
        <v>46059</v>
      </c>
      <c r="H33" s="87">
        <v>1</v>
      </c>
      <c r="I33" s="86" t="s">
        <v>327</v>
      </c>
      <c r="J33" s="86"/>
      <c r="N33">
        <v>43</v>
      </c>
      <c r="O33" s="36">
        <v>46370</v>
      </c>
      <c r="P33" s="36">
        <v>46381</v>
      </c>
      <c r="Q33" t="s">
        <v>306</v>
      </c>
      <c r="R33">
        <v>1</v>
      </c>
    </row>
    <row r="34" spans="1:18">
      <c r="A34" s="71" t="s">
        <v>323</v>
      </c>
      <c r="B34" t="s">
        <v>342</v>
      </c>
      <c r="C34" t="s">
        <v>398</v>
      </c>
      <c r="D34" t="s">
        <v>399</v>
      </c>
      <c r="E34">
        <v>20</v>
      </c>
      <c r="F34" s="70">
        <f>VLOOKUP(E34, sprintday!$A$6:$C$32, 2, FALSE)</f>
        <v>46048</v>
      </c>
      <c r="G34" s="70">
        <f>VLOOKUP(E34, sprintday!$A$6:$C$32, 3, FALSE)</f>
        <v>46059</v>
      </c>
      <c r="H34" s="87">
        <v>1</v>
      </c>
      <c r="I34" s="86" t="s">
        <v>327</v>
      </c>
      <c r="J34" s="86"/>
      <c r="M34" t="s">
        <v>343</v>
      </c>
      <c r="R34">
        <v>6</v>
      </c>
    </row>
    <row r="35" spans="1:18">
      <c r="A35" s="71" t="s">
        <v>323</v>
      </c>
      <c r="B35" t="s">
        <v>342</v>
      </c>
      <c r="C35" t="s">
        <v>400</v>
      </c>
      <c r="D35" t="s">
        <v>401</v>
      </c>
      <c r="E35">
        <v>20</v>
      </c>
      <c r="F35" s="70">
        <f>VLOOKUP(E35, sprintday!$A$6:$C$32, 2, FALSE)</f>
        <v>46048</v>
      </c>
      <c r="G35" s="70">
        <f>VLOOKUP(E35, sprintday!$A$6:$C$32, 3, FALSE)</f>
        <v>46059</v>
      </c>
      <c r="H35" s="87">
        <v>1</v>
      </c>
      <c r="I35" s="86" t="s">
        <v>327</v>
      </c>
      <c r="J35" s="86"/>
      <c r="N35">
        <v>36</v>
      </c>
      <c r="O35" s="36">
        <v>46272</v>
      </c>
      <c r="P35" s="36">
        <v>46283</v>
      </c>
      <c r="Q35" t="s">
        <v>301</v>
      </c>
      <c r="R35">
        <v>1</v>
      </c>
    </row>
    <row r="36" spans="1:18">
      <c r="A36" s="71" t="s">
        <v>323</v>
      </c>
      <c r="B36" t="s">
        <v>342</v>
      </c>
      <c r="C36" t="s">
        <v>402</v>
      </c>
      <c r="D36" t="s">
        <v>403</v>
      </c>
      <c r="E36">
        <v>20</v>
      </c>
      <c r="F36" s="70">
        <f>VLOOKUP(E36, sprintday!$A$6:$C$32, 2, FALSE)</f>
        <v>46048</v>
      </c>
      <c r="G36" s="70">
        <f>VLOOKUP(E36, sprintday!$A$6:$C$32, 3, FALSE)</f>
        <v>46059</v>
      </c>
      <c r="H36" s="87">
        <v>1</v>
      </c>
      <c r="I36" s="86" t="s">
        <v>327</v>
      </c>
      <c r="J36" s="86"/>
      <c r="N36">
        <v>37</v>
      </c>
      <c r="O36" s="36">
        <v>46286</v>
      </c>
      <c r="P36" s="36">
        <v>46297</v>
      </c>
      <c r="Q36" t="s">
        <v>301</v>
      </c>
      <c r="R36">
        <v>1</v>
      </c>
    </row>
    <row r="37" spans="1:18">
      <c r="A37" s="71" t="s">
        <v>323</v>
      </c>
      <c r="B37" t="s">
        <v>342</v>
      </c>
      <c r="C37" t="s">
        <v>404</v>
      </c>
      <c r="D37" t="s">
        <v>405</v>
      </c>
      <c r="E37">
        <v>20</v>
      </c>
      <c r="F37" s="70">
        <f>VLOOKUP(E37, sprintday!$A$6:$C$32, 2, FALSE)</f>
        <v>46048</v>
      </c>
      <c r="G37" s="70">
        <f>VLOOKUP(E37, sprintday!$A$6:$C$32, 3, FALSE)</f>
        <v>46059</v>
      </c>
      <c r="H37" s="87">
        <v>1</v>
      </c>
      <c r="I37" s="86" t="s">
        <v>327</v>
      </c>
      <c r="J37" s="86"/>
      <c r="N37">
        <v>38</v>
      </c>
      <c r="O37" s="36">
        <v>46300</v>
      </c>
      <c r="P37" s="36">
        <v>46311</v>
      </c>
      <c r="Q37" t="s">
        <v>303</v>
      </c>
      <c r="R37">
        <v>1</v>
      </c>
    </row>
    <row r="38" spans="1:18">
      <c r="A38" s="71" t="s">
        <v>323</v>
      </c>
      <c r="B38" t="s">
        <v>342</v>
      </c>
      <c r="C38" t="s">
        <v>406</v>
      </c>
      <c r="D38" t="s">
        <v>407</v>
      </c>
      <c r="E38">
        <v>21</v>
      </c>
      <c r="F38" s="70">
        <f>VLOOKUP(E38, sprintday!$A$6:$C$32, 2, FALSE)</f>
        <v>46062</v>
      </c>
      <c r="G38" s="70">
        <f>VLOOKUP(E38, sprintday!$A$6:$C$32, 3, FALSE)</f>
        <v>46073</v>
      </c>
      <c r="H38" s="87">
        <v>1</v>
      </c>
      <c r="I38" s="86" t="s">
        <v>327</v>
      </c>
      <c r="J38" s="86"/>
      <c r="N38">
        <v>39</v>
      </c>
      <c r="O38" s="36">
        <v>46314</v>
      </c>
      <c r="P38" s="36">
        <v>46325</v>
      </c>
      <c r="Q38" t="s">
        <v>303</v>
      </c>
      <c r="R38">
        <v>1</v>
      </c>
    </row>
    <row r="39" spans="1:18">
      <c r="A39" s="71" t="s">
        <v>323</v>
      </c>
      <c r="B39" t="s">
        <v>342</v>
      </c>
      <c r="C39" t="s">
        <v>408</v>
      </c>
      <c r="D39" t="s">
        <v>409</v>
      </c>
      <c r="E39">
        <v>21</v>
      </c>
      <c r="F39" s="70">
        <f>VLOOKUP(E39, sprintday!$A$6:$C$32, 2, FALSE)</f>
        <v>46062</v>
      </c>
      <c r="G39" s="70">
        <f>VLOOKUP(E39, sprintday!$A$6:$C$32, 3, FALSE)</f>
        <v>46073</v>
      </c>
      <c r="H39" s="87">
        <v>1</v>
      </c>
      <c r="I39" s="86" t="s">
        <v>327</v>
      </c>
      <c r="J39" s="86"/>
      <c r="N39">
        <v>40</v>
      </c>
      <c r="O39" s="36">
        <v>46328</v>
      </c>
      <c r="P39" s="36">
        <v>46339</v>
      </c>
      <c r="Q39" t="s">
        <v>303</v>
      </c>
      <c r="R39">
        <v>1</v>
      </c>
    </row>
    <row r="40" spans="1:18">
      <c r="A40" s="71" t="s">
        <v>323</v>
      </c>
      <c r="B40" t="s">
        <v>342</v>
      </c>
      <c r="C40" t="s">
        <v>410</v>
      </c>
      <c r="D40" t="s">
        <v>411</v>
      </c>
      <c r="E40">
        <v>21</v>
      </c>
      <c r="F40" s="70">
        <f>VLOOKUP(E40, sprintday!$A$6:$C$32, 2, FALSE)</f>
        <v>46062</v>
      </c>
      <c r="G40" s="70">
        <f>VLOOKUP(E40, sprintday!$A$6:$C$32, 3, FALSE)</f>
        <v>46073</v>
      </c>
      <c r="H40" s="87">
        <v>1</v>
      </c>
      <c r="I40" s="86" t="s">
        <v>327</v>
      </c>
      <c r="J40" s="86"/>
      <c r="N40">
        <v>41</v>
      </c>
      <c r="O40" s="36">
        <v>46342</v>
      </c>
      <c r="P40" s="36">
        <v>46353</v>
      </c>
      <c r="Q40" t="s">
        <v>303</v>
      </c>
      <c r="R40">
        <v>1</v>
      </c>
    </row>
    <row r="41" spans="1:18">
      <c r="A41" s="71" t="s">
        <v>323</v>
      </c>
      <c r="B41" t="s">
        <v>342</v>
      </c>
      <c r="C41" t="s">
        <v>412</v>
      </c>
      <c r="D41" t="s">
        <v>413</v>
      </c>
      <c r="E41">
        <v>21</v>
      </c>
      <c r="F41" s="70">
        <f>VLOOKUP(E41, sprintday!$A$6:$C$32, 2, FALSE)</f>
        <v>46062</v>
      </c>
      <c r="G41" s="70">
        <f>VLOOKUP(E41, sprintday!$A$6:$C$32, 3, FALSE)</f>
        <v>46073</v>
      </c>
      <c r="H41" s="87">
        <v>1</v>
      </c>
      <c r="I41" s="86" t="s">
        <v>327</v>
      </c>
      <c r="J41" s="86"/>
      <c r="M41" t="s">
        <v>414</v>
      </c>
      <c r="R41">
        <v>7</v>
      </c>
    </row>
    <row r="42" spans="1:18">
      <c r="A42" s="71" t="s">
        <v>323</v>
      </c>
      <c r="B42" t="s">
        <v>342</v>
      </c>
      <c r="C42" t="s">
        <v>415</v>
      </c>
      <c r="D42" t="s">
        <v>416</v>
      </c>
      <c r="E42">
        <v>21</v>
      </c>
      <c r="F42" s="70">
        <f>VLOOKUP(E42, sprintday!$A$6:$C$32, 2, FALSE)</f>
        <v>46062</v>
      </c>
      <c r="G42" s="70">
        <f>VLOOKUP(E42, sprintday!$A$6:$C$32, 3, FALSE)</f>
        <v>46073</v>
      </c>
      <c r="H42" s="87">
        <v>1</v>
      </c>
      <c r="I42" s="86" t="s">
        <v>327</v>
      </c>
      <c r="J42" s="86"/>
      <c r="N42">
        <v>30</v>
      </c>
      <c r="O42" s="36">
        <v>46188</v>
      </c>
      <c r="P42" s="36">
        <v>46199</v>
      </c>
      <c r="Q42" t="s">
        <v>414</v>
      </c>
      <c r="R42">
        <v>7</v>
      </c>
    </row>
    <row r="43" spans="1:18">
      <c r="A43" s="71" t="s">
        <v>323</v>
      </c>
      <c r="B43" t="s">
        <v>342</v>
      </c>
      <c r="C43" t="s">
        <v>417</v>
      </c>
      <c r="D43" t="s">
        <v>418</v>
      </c>
      <c r="E43">
        <v>21</v>
      </c>
      <c r="F43" s="70">
        <f>VLOOKUP(E43, sprintday!$A$6:$C$32, 2, FALSE)</f>
        <v>46062</v>
      </c>
      <c r="G43" s="70">
        <f>VLOOKUP(E43, sprintday!$A$6:$C$32, 3, FALSE)</f>
        <v>46073</v>
      </c>
      <c r="H43" s="87">
        <v>1</v>
      </c>
      <c r="I43" s="86" t="s">
        <v>327</v>
      </c>
      <c r="J43" s="86"/>
      <c r="M43" t="s">
        <v>346</v>
      </c>
      <c r="R43">
        <v>162</v>
      </c>
    </row>
    <row r="44" spans="1:18">
      <c r="A44" s="71" t="s">
        <v>323</v>
      </c>
      <c r="B44" t="s">
        <v>342</v>
      </c>
      <c r="C44" t="s">
        <v>419</v>
      </c>
      <c r="D44" t="s">
        <v>420</v>
      </c>
      <c r="E44">
        <v>21</v>
      </c>
      <c r="F44" s="70">
        <f>VLOOKUP(E44, sprintday!$A$6:$C$32, 2, FALSE)</f>
        <v>46062</v>
      </c>
      <c r="G44" s="70">
        <f>VLOOKUP(E44, sprintday!$A$6:$C$32, 3, FALSE)</f>
        <v>46073</v>
      </c>
      <c r="H44" s="87">
        <v>1</v>
      </c>
      <c r="I44" s="86" t="s">
        <v>327</v>
      </c>
      <c r="J44" s="86"/>
    </row>
    <row r="45" spans="1:18">
      <c r="A45" s="71" t="s">
        <v>323</v>
      </c>
      <c r="B45" t="s">
        <v>342</v>
      </c>
      <c r="C45" t="s">
        <v>421</v>
      </c>
      <c r="D45" t="s">
        <v>422</v>
      </c>
      <c r="E45">
        <v>21</v>
      </c>
      <c r="F45" s="70">
        <f>VLOOKUP(E45, sprintday!$A$6:$C$32, 2, FALSE)</f>
        <v>46062</v>
      </c>
      <c r="G45" s="70">
        <f>VLOOKUP(E45, sprintday!$A$6:$C$32, 3, FALSE)</f>
        <v>46073</v>
      </c>
      <c r="H45" s="87">
        <v>1</v>
      </c>
      <c r="I45" s="86" t="s">
        <v>327</v>
      </c>
      <c r="J45" s="86"/>
      <c r="M45" s="12" t="s">
        <v>745</v>
      </c>
    </row>
    <row r="46" spans="1:18">
      <c r="A46" s="71" t="s">
        <v>323</v>
      </c>
      <c r="B46" t="s">
        <v>349</v>
      </c>
      <c r="C46" t="s">
        <v>423</v>
      </c>
      <c r="D46" t="s">
        <v>424</v>
      </c>
      <c r="E46">
        <v>22</v>
      </c>
      <c r="F46" s="70">
        <f>VLOOKUP(E46, sprintday!$A$6:$C$32, 2, FALSE)</f>
        <v>46076</v>
      </c>
      <c r="G46" s="70">
        <f>VLOOKUP(E46, sprintday!$A$6:$C$32, 3, FALSE)</f>
        <v>46087</v>
      </c>
      <c r="H46" s="87">
        <v>1</v>
      </c>
      <c r="I46" s="86" t="s">
        <v>327</v>
      </c>
      <c r="J46" s="86"/>
      <c r="M46" s="84" t="s">
        <v>1</v>
      </c>
      <c r="N46" t="s">
        <v>329</v>
      </c>
    </row>
    <row r="47" spans="1:18">
      <c r="A47" s="71" t="s">
        <v>323</v>
      </c>
      <c r="B47" t="s">
        <v>349</v>
      </c>
      <c r="C47" t="s">
        <v>425</v>
      </c>
      <c r="D47" t="s">
        <v>426</v>
      </c>
      <c r="E47">
        <v>22</v>
      </c>
      <c r="F47" s="70">
        <f>VLOOKUP(E47, sprintday!$A$6:$C$32, 2, FALSE)</f>
        <v>46076</v>
      </c>
      <c r="G47" s="70">
        <f>VLOOKUP(E47, sprintday!$A$6:$C$32, 3, FALSE)</f>
        <v>46087</v>
      </c>
      <c r="H47" s="87">
        <v>1</v>
      </c>
      <c r="I47" s="86" t="s">
        <v>327</v>
      </c>
      <c r="J47" s="86"/>
      <c r="M47" t="s">
        <v>323</v>
      </c>
      <c r="N47">
        <v>90</v>
      </c>
    </row>
    <row r="48" spans="1:18">
      <c r="A48" s="71" t="s">
        <v>323</v>
      </c>
      <c r="B48" t="s">
        <v>349</v>
      </c>
      <c r="C48" t="s">
        <v>427</v>
      </c>
      <c r="D48" t="s">
        <v>428</v>
      </c>
      <c r="E48">
        <v>22</v>
      </c>
      <c r="F48" s="70">
        <f>VLOOKUP(E48, sprintday!$A$6:$C$32, 2, FALSE)</f>
        <v>46076</v>
      </c>
      <c r="G48" s="70">
        <f>VLOOKUP(E48, sprintday!$A$6:$C$32, 3, FALSE)</f>
        <v>46087</v>
      </c>
      <c r="H48" s="87">
        <v>1</v>
      </c>
      <c r="I48" s="86" t="s">
        <v>327</v>
      </c>
      <c r="J48" s="86"/>
      <c r="M48" t="s">
        <v>335</v>
      </c>
      <c r="N48">
        <v>2</v>
      </c>
    </row>
    <row r="49" spans="1:14">
      <c r="A49" s="71" t="s">
        <v>323</v>
      </c>
      <c r="B49" t="s">
        <v>349</v>
      </c>
      <c r="C49" t="s">
        <v>429</v>
      </c>
      <c r="D49" t="s">
        <v>430</v>
      </c>
      <c r="E49">
        <v>22</v>
      </c>
      <c r="F49" s="70">
        <f>VLOOKUP(E49, sprintday!$A$6:$C$32, 2, FALSE)</f>
        <v>46076</v>
      </c>
      <c r="G49" s="70">
        <f>VLOOKUP(E49, sprintday!$A$6:$C$32, 3, FALSE)</f>
        <v>46087</v>
      </c>
      <c r="H49" s="87">
        <v>1</v>
      </c>
      <c r="I49" s="86" t="s">
        <v>327</v>
      </c>
      <c r="J49" s="86"/>
      <c r="M49" t="s">
        <v>338</v>
      </c>
      <c r="N49">
        <v>57</v>
      </c>
    </row>
    <row r="50" spans="1:14">
      <c r="A50" s="71" t="s">
        <v>323</v>
      </c>
      <c r="B50" t="s">
        <v>349</v>
      </c>
      <c r="C50" t="s">
        <v>431</v>
      </c>
      <c r="D50" t="s">
        <v>432</v>
      </c>
      <c r="E50">
        <v>22</v>
      </c>
      <c r="F50" s="70">
        <f>VLOOKUP(E50, sprintday!$A$6:$C$32, 2, FALSE)</f>
        <v>46076</v>
      </c>
      <c r="G50" s="70">
        <f>VLOOKUP(E50, sprintday!$A$6:$C$32, 3, FALSE)</f>
        <v>46087</v>
      </c>
      <c r="H50" s="87">
        <v>1</v>
      </c>
      <c r="I50" s="86" t="s">
        <v>327</v>
      </c>
      <c r="J50" s="86"/>
      <c r="M50" t="s">
        <v>343</v>
      </c>
      <c r="N50">
        <v>6</v>
      </c>
    </row>
    <row r="51" spans="1:14">
      <c r="A51" s="71" t="s">
        <v>323</v>
      </c>
      <c r="B51" t="s">
        <v>349</v>
      </c>
      <c r="C51" t="s">
        <v>433</v>
      </c>
      <c r="D51" t="s">
        <v>434</v>
      </c>
      <c r="E51">
        <v>22</v>
      </c>
      <c r="F51" s="70">
        <f>VLOOKUP(E51, sprintday!$A$6:$C$32, 2, FALSE)</f>
        <v>46076</v>
      </c>
      <c r="G51" s="70">
        <f>VLOOKUP(E51, sprintday!$A$6:$C$32, 3, FALSE)</f>
        <v>46087</v>
      </c>
      <c r="H51" s="87">
        <v>1</v>
      </c>
      <c r="I51" s="86" t="s">
        <v>327</v>
      </c>
      <c r="J51" s="86"/>
      <c r="M51" t="s">
        <v>414</v>
      </c>
      <c r="N51">
        <v>7</v>
      </c>
    </row>
    <row r="52" spans="1:14">
      <c r="A52" s="71" t="s">
        <v>323</v>
      </c>
      <c r="B52" t="s">
        <v>349</v>
      </c>
      <c r="C52" t="s">
        <v>435</v>
      </c>
      <c r="D52" t="s">
        <v>436</v>
      </c>
      <c r="E52">
        <v>22</v>
      </c>
      <c r="F52" s="70">
        <f>VLOOKUP(E52, sprintday!$A$6:$C$32, 2, FALSE)</f>
        <v>46076</v>
      </c>
      <c r="G52" s="70">
        <f>VLOOKUP(E52, sprintday!$A$6:$C$32, 3, FALSE)</f>
        <v>46087</v>
      </c>
      <c r="H52" s="87">
        <v>1</v>
      </c>
      <c r="I52" s="86" t="s">
        <v>327</v>
      </c>
      <c r="J52" s="86"/>
      <c r="M52" t="s">
        <v>346</v>
      </c>
      <c r="N52">
        <v>162</v>
      </c>
    </row>
    <row r="53" spans="1:14">
      <c r="A53" s="71" t="s">
        <v>323</v>
      </c>
      <c r="B53" t="s">
        <v>342</v>
      </c>
      <c r="C53" t="s">
        <v>437</v>
      </c>
      <c r="D53" t="s">
        <v>438</v>
      </c>
      <c r="E53">
        <v>22</v>
      </c>
      <c r="F53" s="70">
        <f>VLOOKUP(E53, sprintday!$A$6:$C$32, 2, FALSE)</f>
        <v>46076</v>
      </c>
      <c r="G53" s="70">
        <f>VLOOKUP(E53, sprintday!$A$6:$C$32, 3, FALSE)</f>
        <v>46087</v>
      </c>
      <c r="H53" s="87">
        <v>1</v>
      </c>
      <c r="I53" s="86" t="s">
        <v>327</v>
      </c>
      <c r="J53" s="86"/>
    </row>
    <row r="54" spans="1:14">
      <c r="A54" s="71" t="s">
        <v>323</v>
      </c>
      <c r="B54" t="s">
        <v>342</v>
      </c>
      <c r="C54" t="s">
        <v>439</v>
      </c>
      <c r="D54" t="s">
        <v>440</v>
      </c>
      <c r="E54">
        <v>22</v>
      </c>
      <c r="F54" s="70">
        <f>VLOOKUP(E54, sprintday!$A$6:$C$32, 2, FALSE)</f>
        <v>46076</v>
      </c>
      <c r="G54" s="70">
        <f>VLOOKUP(E54, sprintday!$A$6:$C$32, 3, FALSE)</f>
        <v>46087</v>
      </c>
      <c r="H54" s="87">
        <v>1</v>
      </c>
      <c r="I54" s="86" t="s">
        <v>327</v>
      </c>
      <c r="J54" s="86"/>
    </row>
    <row r="55" spans="1:14">
      <c r="A55" s="71" t="s">
        <v>323</v>
      </c>
      <c r="B55" t="s">
        <v>342</v>
      </c>
      <c r="C55" t="s">
        <v>441</v>
      </c>
      <c r="D55" t="s">
        <v>442</v>
      </c>
      <c r="E55">
        <v>22</v>
      </c>
      <c r="F55" s="70">
        <f>VLOOKUP(E55, sprintday!$A$6:$C$32, 2, FALSE)</f>
        <v>46076</v>
      </c>
      <c r="G55" s="70">
        <f>VLOOKUP(E55, sprintday!$A$6:$C$32, 3, FALSE)</f>
        <v>46087</v>
      </c>
      <c r="H55" s="87">
        <v>1</v>
      </c>
      <c r="I55" s="86" t="s">
        <v>327</v>
      </c>
      <c r="J55" s="86"/>
    </row>
    <row r="56" spans="1:14">
      <c r="A56" s="71" t="s">
        <v>323</v>
      </c>
      <c r="B56" t="s">
        <v>342</v>
      </c>
      <c r="C56" t="s">
        <v>443</v>
      </c>
      <c r="D56" t="s">
        <v>444</v>
      </c>
      <c r="E56">
        <v>22</v>
      </c>
      <c r="F56" s="70">
        <f>VLOOKUP(E56, sprintday!$A$6:$C$32, 2, FALSE)</f>
        <v>46076</v>
      </c>
      <c r="G56" s="70">
        <f>VLOOKUP(E56, sprintday!$A$6:$C$32, 3, FALSE)</f>
        <v>46087</v>
      </c>
      <c r="H56" s="87">
        <v>1</v>
      </c>
      <c r="I56" s="86" t="s">
        <v>327</v>
      </c>
      <c r="J56" s="86"/>
    </row>
    <row r="57" spans="1:14">
      <c r="A57" s="71" t="s">
        <v>323</v>
      </c>
      <c r="B57" t="s">
        <v>342</v>
      </c>
      <c r="C57" t="s">
        <v>445</v>
      </c>
      <c r="D57" t="s">
        <v>446</v>
      </c>
      <c r="E57">
        <v>23</v>
      </c>
      <c r="F57" s="70">
        <f>VLOOKUP(E57, sprintday!$A$6:$C$32, 2, FALSE)</f>
        <v>46090</v>
      </c>
      <c r="G57" s="70">
        <f>VLOOKUP(E57, sprintday!$A$6:$C$32, 3, FALSE)</f>
        <v>46101</v>
      </c>
      <c r="H57" s="87">
        <v>1</v>
      </c>
      <c r="I57" s="86" t="s">
        <v>327</v>
      </c>
      <c r="J57" s="86"/>
    </row>
    <row r="58" spans="1:14">
      <c r="A58" s="71" t="s">
        <v>323</v>
      </c>
      <c r="B58" t="s">
        <v>342</v>
      </c>
      <c r="C58" t="s">
        <v>447</v>
      </c>
      <c r="D58" t="s">
        <v>448</v>
      </c>
      <c r="E58">
        <v>23</v>
      </c>
      <c r="F58" s="70">
        <f>VLOOKUP(E58, sprintday!$A$6:$C$32, 2, FALSE)</f>
        <v>46090</v>
      </c>
      <c r="G58" s="70">
        <f>VLOOKUP(E58, sprintday!$A$6:$C$32, 3, FALSE)</f>
        <v>46101</v>
      </c>
      <c r="H58" s="87">
        <v>1</v>
      </c>
      <c r="I58" s="86" t="s">
        <v>327</v>
      </c>
      <c r="J58" s="86"/>
    </row>
    <row r="59" spans="1:14">
      <c r="A59" s="71" t="s">
        <v>323</v>
      </c>
      <c r="B59" t="s">
        <v>342</v>
      </c>
      <c r="C59" t="s">
        <v>449</v>
      </c>
      <c r="D59" t="s">
        <v>450</v>
      </c>
      <c r="E59">
        <v>23</v>
      </c>
      <c r="F59" s="70">
        <f>VLOOKUP(E59, sprintday!$A$6:$C$32, 2, FALSE)</f>
        <v>46090</v>
      </c>
      <c r="G59" s="70">
        <f>VLOOKUP(E59, sprintday!$A$6:$C$32, 3, FALSE)</f>
        <v>46101</v>
      </c>
      <c r="H59" s="87">
        <v>1</v>
      </c>
      <c r="I59" s="86" t="s">
        <v>327</v>
      </c>
      <c r="J59" s="86"/>
    </row>
    <row r="60" spans="1:14">
      <c r="A60" s="71" t="s">
        <v>323</v>
      </c>
      <c r="B60" t="s">
        <v>342</v>
      </c>
      <c r="C60" t="s">
        <v>451</v>
      </c>
      <c r="D60" t="s">
        <v>452</v>
      </c>
      <c r="E60">
        <v>23</v>
      </c>
      <c r="F60" s="70">
        <f>VLOOKUP(E60, sprintday!$A$6:$C$32, 2, FALSE)</f>
        <v>46090</v>
      </c>
      <c r="G60" s="70">
        <f>VLOOKUP(E60, sprintday!$A$6:$C$32, 3, FALSE)</f>
        <v>46101</v>
      </c>
      <c r="H60" s="87">
        <v>1</v>
      </c>
      <c r="I60" s="86" t="s">
        <v>327</v>
      </c>
      <c r="J60" s="86"/>
    </row>
    <row r="61" spans="1:14">
      <c r="A61" s="71" t="s">
        <v>323</v>
      </c>
      <c r="B61" t="s">
        <v>342</v>
      </c>
      <c r="C61" t="s">
        <v>453</v>
      </c>
      <c r="D61" t="s">
        <v>454</v>
      </c>
      <c r="E61">
        <v>23</v>
      </c>
      <c r="F61" s="70">
        <f>VLOOKUP(E61, sprintday!$A$6:$C$32, 2, FALSE)</f>
        <v>46090</v>
      </c>
      <c r="G61" s="70">
        <f>VLOOKUP(E61, sprintday!$A$6:$C$32, 3, FALSE)</f>
        <v>46101</v>
      </c>
      <c r="H61" s="87">
        <v>1</v>
      </c>
      <c r="I61" s="86" t="s">
        <v>327</v>
      </c>
      <c r="J61" s="86"/>
    </row>
    <row r="62" spans="1:14">
      <c r="A62" s="71" t="s">
        <v>323</v>
      </c>
      <c r="B62" t="s">
        <v>342</v>
      </c>
      <c r="C62" t="s">
        <v>455</v>
      </c>
      <c r="D62" t="s">
        <v>456</v>
      </c>
      <c r="E62">
        <v>23</v>
      </c>
      <c r="F62" s="70">
        <f>VLOOKUP(E62, sprintday!$A$6:$C$32, 2, FALSE)</f>
        <v>46090</v>
      </c>
      <c r="G62" s="70">
        <f>VLOOKUP(E62, sprintday!$A$6:$C$32, 3, FALSE)</f>
        <v>46101</v>
      </c>
      <c r="H62" s="87">
        <v>1</v>
      </c>
      <c r="I62" s="86" t="s">
        <v>327</v>
      </c>
      <c r="J62" s="86"/>
    </row>
    <row r="63" spans="1:14">
      <c r="A63" s="71" t="s">
        <v>323</v>
      </c>
      <c r="B63" t="s">
        <v>342</v>
      </c>
      <c r="C63" t="s">
        <v>457</v>
      </c>
      <c r="D63" t="s">
        <v>458</v>
      </c>
      <c r="E63">
        <v>23</v>
      </c>
      <c r="F63" s="70">
        <f>VLOOKUP(E63, sprintday!$A$6:$C$32, 2, FALSE)</f>
        <v>46090</v>
      </c>
      <c r="G63" s="70">
        <f>VLOOKUP(E63, sprintday!$A$6:$C$32, 3, FALSE)</f>
        <v>46101</v>
      </c>
      <c r="H63" s="87">
        <v>1</v>
      </c>
      <c r="I63" s="86" t="s">
        <v>327</v>
      </c>
      <c r="J63" s="86"/>
    </row>
    <row r="64" spans="1:14">
      <c r="A64" s="71" t="s">
        <v>323</v>
      </c>
      <c r="B64" t="s">
        <v>342</v>
      </c>
      <c r="C64" t="s">
        <v>459</v>
      </c>
      <c r="D64" t="s">
        <v>460</v>
      </c>
      <c r="E64">
        <v>24</v>
      </c>
      <c r="F64" s="70">
        <f>VLOOKUP(E64, sprintday!$A$6:$C$32, 2, FALSE)</f>
        <v>46104</v>
      </c>
      <c r="G64" s="70">
        <f>VLOOKUP(E64, sprintday!$A$6:$C$32, 3, FALSE)</f>
        <v>46115</v>
      </c>
      <c r="H64" s="87">
        <v>1</v>
      </c>
      <c r="I64" s="86" t="s">
        <v>327</v>
      </c>
      <c r="J64" s="86"/>
    </row>
    <row r="65" spans="1:11">
      <c r="A65" s="71" t="s">
        <v>323</v>
      </c>
      <c r="B65" t="s">
        <v>342</v>
      </c>
      <c r="C65" t="s">
        <v>461</v>
      </c>
      <c r="D65" t="s">
        <v>462</v>
      </c>
      <c r="E65">
        <v>24</v>
      </c>
      <c r="F65" s="70">
        <f>VLOOKUP(E65, sprintday!$A$6:$C$32, 2, FALSE)</f>
        <v>46104</v>
      </c>
      <c r="G65" s="70">
        <f>VLOOKUP(E65, sprintday!$A$6:$C$32, 3, FALSE)</f>
        <v>46115</v>
      </c>
      <c r="H65" s="87">
        <v>1</v>
      </c>
      <c r="I65" s="86" t="s">
        <v>327</v>
      </c>
      <c r="J65" s="86"/>
    </row>
    <row r="66" spans="1:11">
      <c r="A66" s="71" t="s">
        <v>323</v>
      </c>
      <c r="B66" t="s">
        <v>342</v>
      </c>
      <c r="C66" t="s">
        <v>463</v>
      </c>
      <c r="D66" t="s">
        <v>464</v>
      </c>
      <c r="E66">
        <v>24</v>
      </c>
      <c r="F66" s="70">
        <f>VLOOKUP(E66, sprintday!$A$6:$C$32, 2, FALSE)</f>
        <v>46104</v>
      </c>
      <c r="G66" s="70">
        <f>VLOOKUP(E66, sprintday!$A$6:$C$32, 3, FALSE)</f>
        <v>46115</v>
      </c>
      <c r="H66" s="87">
        <v>1</v>
      </c>
      <c r="I66" s="86" t="s">
        <v>327</v>
      </c>
      <c r="J66" s="86"/>
    </row>
    <row r="67" spans="1:11">
      <c r="A67" s="71" t="s">
        <v>323</v>
      </c>
      <c r="B67" t="s">
        <v>342</v>
      </c>
      <c r="C67" t="s">
        <v>465</v>
      </c>
      <c r="D67" t="s">
        <v>466</v>
      </c>
      <c r="E67">
        <v>24</v>
      </c>
      <c r="F67" s="70">
        <f>VLOOKUP(E67, sprintday!$A$6:$C$32, 2, FALSE)</f>
        <v>46104</v>
      </c>
      <c r="G67" s="70">
        <f>VLOOKUP(E67, sprintday!$A$6:$C$32, 3, FALSE)</f>
        <v>46115</v>
      </c>
      <c r="H67" s="87">
        <v>1</v>
      </c>
      <c r="I67" s="86" t="s">
        <v>327</v>
      </c>
      <c r="J67" s="86"/>
    </row>
    <row r="68" spans="1:11">
      <c r="A68" s="71" t="s">
        <v>323</v>
      </c>
      <c r="B68" t="s">
        <v>342</v>
      </c>
      <c r="C68" t="s">
        <v>467</v>
      </c>
      <c r="D68" t="s">
        <v>468</v>
      </c>
      <c r="E68">
        <v>24</v>
      </c>
      <c r="F68" s="70">
        <f>VLOOKUP(E68, sprintday!$A$6:$C$32, 2, FALSE)</f>
        <v>46104</v>
      </c>
      <c r="G68" s="70">
        <f>VLOOKUP(E68, sprintday!$A$6:$C$32, 3, FALSE)</f>
        <v>46115</v>
      </c>
      <c r="H68" s="87">
        <v>1</v>
      </c>
      <c r="I68" s="86" t="s">
        <v>327</v>
      </c>
      <c r="J68" s="86"/>
    </row>
    <row r="69" spans="1:11">
      <c r="A69" s="71" t="s">
        <v>323</v>
      </c>
      <c r="B69" t="s">
        <v>342</v>
      </c>
      <c r="C69" t="s">
        <v>469</v>
      </c>
      <c r="D69" t="s">
        <v>470</v>
      </c>
      <c r="E69">
        <v>24</v>
      </c>
      <c r="F69" s="70">
        <f>VLOOKUP(E69, sprintday!$A$6:$C$32, 2, FALSE)</f>
        <v>46104</v>
      </c>
      <c r="G69" s="70">
        <f>VLOOKUP(E69, sprintday!$A$6:$C$32, 3, FALSE)</f>
        <v>46115</v>
      </c>
      <c r="H69" s="87">
        <v>1</v>
      </c>
      <c r="I69" s="86" t="s">
        <v>327</v>
      </c>
      <c r="J69" s="86"/>
    </row>
    <row r="70" spans="1:11">
      <c r="A70" s="71" t="s">
        <v>323</v>
      </c>
      <c r="B70" t="s">
        <v>342</v>
      </c>
      <c r="C70" t="s">
        <v>471</v>
      </c>
      <c r="D70" t="s">
        <v>472</v>
      </c>
      <c r="E70">
        <v>24</v>
      </c>
      <c r="F70" s="70">
        <f>VLOOKUP(E70, sprintday!$A$6:$C$32, 2, FALSE)</f>
        <v>46104</v>
      </c>
      <c r="G70" s="70">
        <f>VLOOKUP(E70, sprintday!$A$6:$C$32, 3, FALSE)</f>
        <v>46115</v>
      </c>
      <c r="H70" s="87">
        <v>1</v>
      </c>
      <c r="I70" s="86" t="s">
        <v>327</v>
      </c>
      <c r="J70" s="86"/>
    </row>
    <row r="71" spans="1:11">
      <c r="A71" s="71" t="s">
        <v>323</v>
      </c>
      <c r="B71" t="s">
        <v>342</v>
      </c>
      <c r="C71" t="s">
        <v>473</v>
      </c>
      <c r="D71" t="s">
        <v>474</v>
      </c>
      <c r="E71">
        <v>24</v>
      </c>
      <c r="F71" s="70">
        <f>VLOOKUP(E71, sprintday!$A$6:$C$32, 2, FALSE)</f>
        <v>46104</v>
      </c>
      <c r="G71" s="70">
        <f>VLOOKUP(E71, sprintday!$A$6:$C$32, 3, FALSE)</f>
        <v>46115</v>
      </c>
      <c r="H71" s="87">
        <v>1</v>
      </c>
      <c r="I71" s="86" t="s">
        <v>327</v>
      </c>
      <c r="J71" s="86"/>
    </row>
    <row r="72" spans="1:11">
      <c r="A72" s="71" t="s">
        <v>323</v>
      </c>
      <c r="B72" t="s">
        <v>342</v>
      </c>
      <c r="C72" t="s">
        <v>475</v>
      </c>
      <c r="D72" t="s">
        <v>476</v>
      </c>
      <c r="E72">
        <v>24</v>
      </c>
      <c r="F72" s="70">
        <f>VLOOKUP(E72, sprintday!$A$6:$C$32, 2, FALSE)</f>
        <v>46104</v>
      </c>
      <c r="G72" s="70">
        <f>VLOOKUP(E72, sprintday!$A$6:$C$32, 3, FALSE)</f>
        <v>46115</v>
      </c>
      <c r="H72" s="87">
        <v>1</v>
      </c>
      <c r="I72" s="86" t="s">
        <v>327</v>
      </c>
      <c r="J72" s="86"/>
    </row>
    <row r="73" spans="1:11">
      <c r="A73" s="71" t="s">
        <v>323</v>
      </c>
      <c r="B73" t="s">
        <v>342</v>
      </c>
      <c r="C73" t="s">
        <v>477</v>
      </c>
      <c r="D73" t="s">
        <v>478</v>
      </c>
      <c r="E73">
        <v>24</v>
      </c>
      <c r="F73" s="70">
        <f>VLOOKUP(E73, sprintday!$A$6:$C$32, 2, FALSE)</f>
        <v>46104</v>
      </c>
      <c r="G73" s="70">
        <f>VLOOKUP(E73, sprintday!$A$6:$C$32, 3, FALSE)</f>
        <v>46115</v>
      </c>
      <c r="H73" s="87">
        <v>1</v>
      </c>
      <c r="I73" s="86" t="s">
        <v>327</v>
      </c>
      <c r="J73" s="86"/>
    </row>
    <row r="74" spans="1:11">
      <c r="A74" s="71" t="s">
        <v>323</v>
      </c>
      <c r="B74" t="s">
        <v>342</v>
      </c>
      <c r="C74" t="s">
        <v>479</v>
      </c>
      <c r="D74" t="s">
        <v>480</v>
      </c>
      <c r="E74">
        <v>24</v>
      </c>
      <c r="F74" s="70">
        <f>VLOOKUP(E74, sprintday!$A$6:$C$32, 2, FALSE)</f>
        <v>46104</v>
      </c>
      <c r="G74" s="70">
        <f>VLOOKUP(E74, sprintday!$A$6:$C$32, 3, FALSE)</f>
        <v>46115</v>
      </c>
      <c r="H74" s="87">
        <v>1</v>
      </c>
      <c r="I74" s="86" t="s">
        <v>327</v>
      </c>
      <c r="J74" s="86"/>
      <c r="K74" t="s">
        <v>338</v>
      </c>
    </row>
    <row r="75" spans="1:11">
      <c r="A75" s="71" t="s">
        <v>323</v>
      </c>
      <c r="B75" t="s">
        <v>342</v>
      </c>
      <c r="C75" t="s">
        <v>481</v>
      </c>
      <c r="D75" t="s">
        <v>482</v>
      </c>
      <c r="E75">
        <v>25</v>
      </c>
      <c r="F75" s="70">
        <f>VLOOKUP(E75, sprintday!$A$6:$C$32, 2, FALSE)</f>
        <v>46118</v>
      </c>
      <c r="G75" s="70">
        <f>VLOOKUP(E75, sprintday!$A$6:$C$32, 3, FALSE)</f>
        <v>46129</v>
      </c>
      <c r="H75" s="87">
        <v>1</v>
      </c>
      <c r="I75" s="86" t="s">
        <v>327</v>
      </c>
      <c r="J75" s="86"/>
    </row>
    <row r="76" spans="1:11">
      <c r="A76" s="71" t="s">
        <v>323</v>
      </c>
      <c r="B76" t="s">
        <v>342</v>
      </c>
      <c r="C76" t="s">
        <v>483</v>
      </c>
      <c r="D76" t="s">
        <v>484</v>
      </c>
      <c r="E76">
        <v>25</v>
      </c>
      <c r="F76" s="70">
        <f>VLOOKUP(E76, sprintday!$A$6:$C$32, 2, FALSE)</f>
        <v>46118</v>
      </c>
      <c r="G76" s="70">
        <f>VLOOKUP(E76, sprintday!$A$6:$C$32, 3, FALSE)</f>
        <v>46129</v>
      </c>
      <c r="H76" s="87">
        <v>1</v>
      </c>
      <c r="I76" s="86" t="s">
        <v>327</v>
      </c>
      <c r="J76" s="86"/>
    </row>
    <row r="77" spans="1:11">
      <c r="A77" s="71" t="s">
        <v>323</v>
      </c>
      <c r="B77" t="s">
        <v>342</v>
      </c>
      <c r="C77" t="s">
        <v>485</v>
      </c>
      <c r="D77" t="s">
        <v>486</v>
      </c>
      <c r="E77">
        <v>25</v>
      </c>
      <c r="F77" s="70">
        <f>VLOOKUP(E77, sprintday!$A$6:$C$32, 2, FALSE)</f>
        <v>46118</v>
      </c>
      <c r="G77" s="70">
        <f>VLOOKUP(E77, sprintday!$A$6:$C$32, 3, FALSE)</f>
        <v>46129</v>
      </c>
      <c r="H77" s="87">
        <v>1</v>
      </c>
      <c r="I77" s="86" t="s">
        <v>327</v>
      </c>
      <c r="J77" s="86"/>
    </row>
    <row r="78" spans="1:11">
      <c r="A78" s="71" t="s">
        <v>323</v>
      </c>
      <c r="B78" t="s">
        <v>342</v>
      </c>
      <c r="C78" t="s">
        <v>487</v>
      </c>
      <c r="D78" t="s">
        <v>488</v>
      </c>
      <c r="E78">
        <v>25</v>
      </c>
      <c r="F78" s="70">
        <f>VLOOKUP(E78, sprintday!$A$6:$C$32, 2, FALSE)</f>
        <v>46118</v>
      </c>
      <c r="G78" s="70">
        <f>VLOOKUP(E78, sprintday!$A$6:$C$32, 3, FALSE)</f>
        <v>46129</v>
      </c>
      <c r="H78" s="87">
        <v>1</v>
      </c>
      <c r="I78" s="86" t="s">
        <v>327</v>
      </c>
      <c r="J78" s="86"/>
      <c r="K78" t="s">
        <v>338</v>
      </c>
    </row>
    <row r="79" spans="1:11">
      <c r="A79" s="71" t="s">
        <v>323</v>
      </c>
      <c r="B79" t="s">
        <v>342</v>
      </c>
      <c r="C79" t="s">
        <v>489</v>
      </c>
      <c r="D79" t="s">
        <v>490</v>
      </c>
      <c r="E79">
        <v>25</v>
      </c>
      <c r="F79" s="70">
        <f>VLOOKUP(E79, sprintday!$A$6:$C$32, 2, FALSE)</f>
        <v>46118</v>
      </c>
      <c r="G79" s="70">
        <f>VLOOKUP(E79, sprintday!$A$6:$C$32, 3, FALSE)</f>
        <v>46129</v>
      </c>
      <c r="H79" s="87">
        <v>1</v>
      </c>
      <c r="I79" s="86" t="s">
        <v>327</v>
      </c>
      <c r="J79" s="86"/>
    </row>
    <row r="80" spans="1:11">
      <c r="A80" s="71" t="s">
        <v>323</v>
      </c>
      <c r="B80" t="s">
        <v>342</v>
      </c>
      <c r="C80" t="s">
        <v>491</v>
      </c>
      <c r="D80" t="s">
        <v>492</v>
      </c>
      <c r="E80">
        <v>26</v>
      </c>
      <c r="F80" s="70">
        <f>VLOOKUP(E80, sprintday!$A$6:$C$32, 2, FALSE)</f>
        <v>46132</v>
      </c>
      <c r="G80" s="70">
        <f>VLOOKUP(E80, sprintday!$A$6:$C$32, 3, FALSE)</f>
        <v>46143</v>
      </c>
      <c r="H80" s="87">
        <v>1</v>
      </c>
      <c r="I80" s="86" t="s">
        <v>327</v>
      </c>
      <c r="J80" s="86"/>
    </row>
    <row r="81" spans="1:11">
      <c r="A81" s="71" t="s">
        <v>323</v>
      </c>
      <c r="B81" t="s">
        <v>342</v>
      </c>
      <c r="C81" t="s">
        <v>493</v>
      </c>
      <c r="D81" t="s">
        <v>494</v>
      </c>
      <c r="E81">
        <v>26</v>
      </c>
      <c r="F81" s="70">
        <f>VLOOKUP(E81, sprintday!$A$6:$C$32, 2, FALSE)</f>
        <v>46132</v>
      </c>
      <c r="G81" s="70">
        <f>VLOOKUP(E81, sprintday!$A$6:$C$32, 3, FALSE)</f>
        <v>46143</v>
      </c>
      <c r="H81" s="87">
        <v>1</v>
      </c>
      <c r="I81" s="86" t="s">
        <v>327</v>
      </c>
      <c r="J81" s="86"/>
    </row>
    <row r="82" spans="1:11">
      <c r="A82" s="71" t="s">
        <v>323</v>
      </c>
      <c r="B82" t="s">
        <v>342</v>
      </c>
      <c r="C82" t="s">
        <v>495</v>
      </c>
      <c r="D82" t="s">
        <v>496</v>
      </c>
      <c r="E82">
        <v>26</v>
      </c>
      <c r="F82" s="70">
        <f>VLOOKUP(E82, sprintday!$A$6:$C$32, 2, FALSE)</f>
        <v>46132</v>
      </c>
      <c r="G82" s="70">
        <f>VLOOKUP(E82, sprintday!$A$6:$C$32, 3, FALSE)</f>
        <v>46143</v>
      </c>
      <c r="H82" s="87">
        <v>1</v>
      </c>
      <c r="I82" s="86" t="s">
        <v>327</v>
      </c>
      <c r="J82" s="86"/>
    </row>
    <row r="83" spans="1:11">
      <c r="A83" s="71" t="s">
        <v>323</v>
      </c>
      <c r="B83" t="s">
        <v>342</v>
      </c>
      <c r="C83" t="s">
        <v>497</v>
      </c>
      <c r="D83" t="s">
        <v>498</v>
      </c>
      <c r="E83">
        <v>26</v>
      </c>
      <c r="F83" s="70">
        <f>VLOOKUP(E83, sprintday!$A$6:$C$32, 2, FALSE)</f>
        <v>46132</v>
      </c>
      <c r="G83" s="70">
        <f>VLOOKUP(E83, sprintday!$A$6:$C$32, 3, FALSE)</f>
        <v>46143</v>
      </c>
      <c r="H83" s="87">
        <v>1</v>
      </c>
      <c r="I83" s="86" t="s">
        <v>327</v>
      </c>
      <c r="J83" s="86"/>
    </row>
    <row r="84" spans="1:11">
      <c r="A84" s="71" t="s">
        <v>323</v>
      </c>
      <c r="B84" t="s">
        <v>342</v>
      </c>
      <c r="C84" t="s">
        <v>477</v>
      </c>
      <c r="D84" t="s">
        <v>478</v>
      </c>
      <c r="E84">
        <v>26</v>
      </c>
      <c r="F84" s="70">
        <f>VLOOKUP(E84, sprintday!$A$6:$C$32, 2, FALSE)</f>
        <v>46132</v>
      </c>
      <c r="G84" s="70">
        <f>VLOOKUP(E84, sprintday!$A$6:$C$32, 3, FALSE)</f>
        <v>46143</v>
      </c>
      <c r="H84" s="87">
        <v>1</v>
      </c>
      <c r="I84" s="86" t="s">
        <v>327</v>
      </c>
      <c r="J84" s="86"/>
    </row>
    <row r="85" spans="1:11">
      <c r="A85" s="71" t="s">
        <v>323</v>
      </c>
      <c r="B85" t="s">
        <v>342</v>
      </c>
      <c r="C85" t="s">
        <v>499</v>
      </c>
      <c r="D85" t="s">
        <v>500</v>
      </c>
      <c r="E85">
        <v>26</v>
      </c>
      <c r="F85" s="70">
        <f>VLOOKUP(E85, sprintday!$A$6:$C$32, 2, FALSE)</f>
        <v>46132</v>
      </c>
      <c r="G85" s="70">
        <f>VLOOKUP(E85, sprintday!$A$6:$C$32, 3, FALSE)</f>
        <v>46143</v>
      </c>
      <c r="H85" s="87">
        <v>1</v>
      </c>
      <c r="I85" s="86" t="s">
        <v>327</v>
      </c>
      <c r="J85" s="86"/>
    </row>
    <row r="86" spans="1:11">
      <c r="A86" s="71" t="s">
        <v>323</v>
      </c>
      <c r="B86" t="s">
        <v>342</v>
      </c>
      <c r="C86" t="s">
        <v>499</v>
      </c>
      <c r="D86" t="s">
        <v>500</v>
      </c>
      <c r="E86">
        <v>27</v>
      </c>
      <c r="F86" s="70">
        <f>VLOOKUP(E86, sprintday!$A$6:$C$32, 2, FALSE)</f>
        <v>46146</v>
      </c>
      <c r="G86" s="70">
        <f>VLOOKUP(E86, sprintday!$A$6:$C$32, 3, FALSE)</f>
        <v>46157</v>
      </c>
      <c r="H86" s="87">
        <v>1</v>
      </c>
      <c r="I86" s="86" t="s">
        <v>327</v>
      </c>
      <c r="J86" s="86"/>
    </row>
    <row r="87" spans="1:11">
      <c r="A87" s="71" t="s">
        <v>323</v>
      </c>
      <c r="B87" t="s">
        <v>342</v>
      </c>
      <c r="C87" t="s">
        <v>501</v>
      </c>
      <c r="D87" t="s">
        <v>502</v>
      </c>
      <c r="E87">
        <v>27</v>
      </c>
      <c r="F87" s="70">
        <f>VLOOKUP(E87, sprintday!$A$6:$C$32, 2, FALSE)</f>
        <v>46146</v>
      </c>
      <c r="G87" s="70">
        <f>VLOOKUP(E87, sprintday!$A$6:$C$32, 3, FALSE)</f>
        <v>46157</v>
      </c>
      <c r="H87" s="87">
        <v>1</v>
      </c>
      <c r="I87" s="86" t="s">
        <v>327</v>
      </c>
      <c r="J87" s="86"/>
    </row>
    <row r="88" spans="1:11">
      <c r="A88" s="71" t="s">
        <v>323</v>
      </c>
      <c r="B88" t="s">
        <v>342</v>
      </c>
      <c r="C88" t="s">
        <v>503</v>
      </c>
      <c r="D88" t="s">
        <v>504</v>
      </c>
      <c r="E88">
        <v>27</v>
      </c>
      <c r="F88" s="70">
        <f>VLOOKUP(E88, sprintday!$A$6:$C$32, 2, FALSE)</f>
        <v>46146</v>
      </c>
      <c r="G88" s="70">
        <f>VLOOKUP(E88, sprintday!$A$6:$C$32, 3, FALSE)</f>
        <v>46157</v>
      </c>
      <c r="H88" s="87">
        <v>1</v>
      </c>
      <c r="I88" s="86" t="s">
        <v>327</v>
      </c>
      <c r="J88" s="86"/>
    </row>
    <row r="89" spans="1:11">
      <c r="A89" s="71" t="s">
        <v>323</v>
      </c>
      <c r="B89" t="s">
        <v>342</v>
      </c>
      <c r="C89" t="s">
        <v>505</v>
      </c>
      <c r="D89" t="s">
        <v>506</v>
      </c>
      <c r="E89">
        <v>27</v>
      </c>
      <c r="F89" s="70">
        <f>VLOOKUP(E89, sprintday!$A$6:$C$32, 2, FALSE)</f>
        <v>46146</v>
      </c>
      <c r="G89" s="70">
        <f>VLOOKUP(E89, sprintday!$A$6:$C$32, 3, FALSE)</f>
        <v>46157</v>
      </c>
      <c r="H89" s="87">
        <v>1</v>
      </c>
      <c r="I89" s="86" t="s">
        <v>327</v>
      </c>
      <c r="J89" s="86"/>
    </row>
    <row r="90" spans="1:11">
      <c r="A90" s="71" t="s">
        <v>323</v>
      </c>
      <c r="B90" t="s">
        <v>342</v>
      </c>
      <c r="C90" t="s">
        <v>507</v>
      </c>
      <c r="D90" t="s">
        <v>508</v>
      </c>
      <c r="E90">
        <v>27</v>
      </c>
      <c r="F90" s="70">
        <f>VLOOKUP(E90, sprintday!$A$6:$C$32, 2, FALSE)</f>
        <v>46146</v>
      </c>
      <c r="G90" s="70">
        <f>VLOOKUP(E90, sprintday!$A$6:$C$32, 3, FALSE)</f>
        <v>46157</v>
      </c>
      <c r="H90" s="87">
        <v>1</v>
      </c>
      <c r="I90" s="86" t="s">
        <v>327</v>
      </c>
      <c r="J90" s="86"/>
    </row>
    <row r="91" spans="1:11">
      <c r="A91" t="s">
        <v>338</v>
      </c>
      <c r="B91" t="s">
        <v>169</v>
      </c>
      <c r="C91" t="s">
        <v>509</v>
      </c>
      <c r="D91" t="s">
        <v>510</v>
      </c>
      <c r="E91">
        <v>27</v>
      </c>
      <c r="F91" s="70">
        <f>VLOOKUP(E91, sprintday!$A$6:$C$32, 2, FALSE)</f>
        <v>46146</v>
      </c>
      <c r="G91" s="70">
        <f>VLOOKUP(E91, sprintday!$A$6:$C$32, 3, FALSE)</f>
        <v>46157</v>
      </c>
      <c r="H91" s="87">
        <v>1</v>
      </c>
      <c r="I91" s="86" t="s">
        <v>327</v>
      </c>
      <c r="J91" s="86"/>
    </row>
    <row r="92" spans="1:11">
      <c r="A92" t="s">
        <v>338</v>
      </c>
      <c r="B92" t="s">
        <v>169</v>
      </c>
      <c r="C92" t="s">
        <v>511</v>
      </c>
      <c r="D92" t="s">
        <v>512</v>
      </c>
      <c r="E92">
        <v>27</v>
      </c>
      <c r="F92" s="70">
        <f>VLOOKUP(E92, sprintday!$A$6:$C$32, 2, FALSE)</f>
        <v>46146</v>
      </c>
      <c r="G92" s="70">
        <f>VLOOKUP(E92, sprintday!$A$6:$C$32, 3, FALSE)</f>
        <v>46157</v>
      </c>
      <c r="H92" s="87">
        <v>1</v>
      </c>
      <c r="I92" s="86" t="s">
        <v>327</v>
      </c>
      <c r="J92" s="86"/>
    </row>
    <row r="93" spans="1:11">
      <c r="A93" t="s">
        <v>338</v>
      </c>
      <c r="B93" t="s">
        <v>169</v>
      </c>
      <c r="C93" t="s">
        <v>513</v>
      </c>
      <c r="D93" t="s">
        <v>514</v>
      </c>
      <c r="E93">
        <v>27</v>
      </c>
      <c r="F93" s="70">
        <f>VLOOKUP(E93, sprintday!$A$6:$C$32, 2, FALSE)</f>
        <v>46146</v>
      </c>
      <c r="G93" s="70">
        <f>VLOOKUP(E93, sprintday!$A$6:$C$32, 3, FALSE)</f>
        <v>46157</v>
      </c>
      <c r="H93" s="87">
        <v>1</v>
      </c>
      <c r="I93" s="86" t="s">
        <v>327</v>
      </c>
      <c r="J93" s="86"/>
    </row>
    <row r="94" spans="1:11">
      <c r="A94" t="s">
        <v>338</v>
      </c>
      <c r="B94" t="s">
        <v>169</v>
      </c>
      <c r="C94" t="s">
        <v>515</v>
      </c>
      <c r="D94" t="s">
        <v>516</v>
      </c>
      <c r="E94">
        <v>27</v>
      </c>
      <c r="F94" s="70">
        <f>VLOOKUP(E94, sprintday!$A$6:$C$32, 2, FALSE)</f>
        <v>46146</v>
      </c>
      <c r="G94" s="70">
        <f>VLOOKUP(E94, sprintday!$A$6:$C$32, 3, FALSE)</f>
        <v>46157</v>
      </c>
      <c r="H94" s="87">
        <v>1</v>
      </c>
      <c r="I94" s="86" t="s">
        <v>327</v>
      </c>
      <c r="J94" s="86"/>
    </row>
    <row r="95" spans="1:11">
      <c r="A95" t="s">
        <v>338</v>
      </c>
      <c r="B95" t="s">
        <v>169</v>
      </c>
      <c r="C95" t="s">
        <v>517</v>
      </c>
      <c r="D95" t="s">
        <v>518</v>
      </c>
      <c r="E95">
        <v>27</v>
      </c>
      <c r="F95" s="70">
        <f>VLOOKUP(E95, sprintday!$A$6:$C$32, 2, FALSE)</f>
        <v>46146</v>
      </c>
      <c r="G95" s="70">
        <f>VLOOKUP(E95, sprintday!$A$6:$C$32, 3, FALSE)</f>
        <v>46157</v>
      </c>
      <c r="H95" s="87">
        <v>1</v>
      </c>
      <c r="I95" s="86" t="s">
        <v>327</v>
      </c>
      <c r="J95" s="86"/>
    </row>
    <row r="96" spans="1:11">
      <c r="A96" t="s">
        <v>338</v>
      </c>
      <c r="B96" t="s">
        <v>169</v>
      </c>
      <c r="C96" t="s">
        <v>519</v>
      </c>
      <c r="D96" t="s">
        <v>520</v>
      </c>
      <c r="E96">
        <v>28</v>
      </c>
      <c r="F96" s="70">
        <f>VLOOKUP(E96, sprintday!$A$6:$C$32, 2, FALSE)</f>
        <v>46160</v>
      </c>
      <c r="G96" s="70">
        <f>VLOOKUP(E96, sprintday!$A$6:$C$32, 3, FALSE)</f>
        <v>46171</v>
      </c>
      <c r="H96" s="87">
        <v>1</v>
      </c>
      <c r="I96" s="86" t="s">
        <v>327</v>
      </c>
      <c r="J96" s="12" t="s">
        <v>522</v>
      </c>
      <c r="K96" s="12"/>
    </row>
    <row r="97" spans="1:11">
      <c r="A97" t="s">
        <v>338</v>
      </c>
      <c r="B97" t="s">
        <v>169</v>
      </c>
      <c r="C97" t="s">
        <v>523</v>
      </c>
      <c r="D97" t="s">
        <v>524</v>
      </c>
      <c r="E97">
        <v>27</v>
      </c>
      <c r="F97" s="70">
        <f>VLOOKUP(E97, sprintday!$A$6:$C$32, 2, FALSE)</f>
        <v>46146</v>
      </c>
      <c r="G97" s="70">
        <f>VLOOKUP(E97, sprintday!$A$6:$C$32, 3, FALSE)</f>
        <v>46157</v>
      </c>
      <c r="H97" s="87">
        <v>1</v>
      </c>
      <c r="I97" s="86" t="s">
        <v>327</v>
      </c>
    </row>
    <row r="98" spans="1:11">
      <c r="A98" t="s">
        <v>338</v>
      </c>
      <c r="B98" t="s">
        <v>169</v>
      </c>
      <c r="C98" t="s">
        <v>525</v>
      </c>
      <c r="D98" t="s">
        <v>526</v>
      </c>
      <c r="E98">
        <v>28</v>
      </c>
      <c r="F98" s="70">
        <f>VLOOKUP(E98, sprintday!$A$6:$C$32, 2, FALSE)</f>
        <v>46160</v>
      </c>
      <c r="G98" s="70">
        <f>VLOOKUP(E98, sprintday!$A$6:$C$32, 3, FALSE)</f>
        <v>46171</v>
      </c>
      <c r="H98" s="87">
        <v>1</v>
      </c>
      <c r="I98" s="86" t="s">
        <v>327</v>
      </c>
      <c r="J98" s="12" t="s">
        <v>522</v>
      </c>
      <c r="K98" s="12"/>
    </row>
    <row r="99" spans="1:11">
      <c r="A99" t="s">
        <v>338</v>
      </c>
      <c r="B99" t="s">
        <v>169</v>
      </c>
      <c r="C99" t="s">
        <v>527</v>
      </c>
      <c r="D99" t="s">
        <v>528</v>
      </c>
      <c r="E99">
        <v>28</v>
      </c>
      <c r="F99" s="70">
        <f>VLOOKUP(E99, sprintday!$A$6:$C$32, 2, FALSE)</f>
        <v>46160</v>
      </c>
      <c r="G99" s="70">
        <f>VLOOKUP(E99, sprintday!$A$6:$C$32, 3, FALSE)</f>
        <v>46171</v>
      </c>
      <c r="H99" s="87">
        <v>1</v>
      </c>
      <c r="I99" s="86" t="s">
        <v>327</v>
      </c>
    </row>
    <row r="100" spans="1:11">
      <c r="A100" t="s">
        <v>338</v>
      </c>
      <c r="B100" t="s">
        <v>169</v>
      </c>
      <c r="C100" t="s">
        <v>529</v>
      </c>
      <c r="D100" t="s">
        <v>530</v>
      </c>
      <c r="E100">
        <v>28</v>
      </c>
      <c r="F100" s="70">
        <f>VLOOKUP(E100, sprintday!$A$6:$C$32, 2, FALSE)</f>
        <v>46160</v>
      </c>
      <c r="G100" s="70">
        <f>VLOOKUP(E100, sprintday!$A$6:$C$32, 3, FALSE)</f>
        <v>46171</v>
      </c>
      <c r="H100" s="87">
        <v>1</v>
      </c>
      <c r="I100" s="86" t="s">
        <v>327</v>
      </c>
    </row>
    <row r="101" spans="1:11">
      <c r="A101" t="s">
        <v>338</v>
      </c>
      <c r="B101" t="s">
        <v>169</v>
      </c>
      <c r="C101" t="s">
        <v>531</v>
      </c>
      <c r="D101" t="s">
        <v>532</v>
      </c>
      <c r="E101">
        <v>28</v>
      </c>
      <c r="F101" s="70">
        <f>VLOOKUP(E101, sprintday!$A$6:$C$32, 2, FALSE)</f>
        <v>46160</v>
      </c>
      <c r="G101" s="70">
        <f>VLOOKUP(E101, sprintday!$A$6:$C$32, 3, FALSE)</f>
        <v>46171</v>
      </c>
      <c r="H101" s="87">
        <v>1</v>
      </c>
      <c r="I101" s="86" t="s">
        <v>327</v>
      </c>
    </row>
    <row r="102" spans="1:11">
      <c r="A102" t="s">
        <v>338</v>
      </c>
      <c r="B102" t="s">
        <v>169</v>
      </c>
      <c r="C102" t="s">
        <v>533</v>
      </c>
      <c r="D102" t="s">
        <v>534</v>
      </c>
      <c r="E102">
        <v>29</v>
      </c>
      <c r="F102" s="70">
        <f>VLOOKUP(E102, sprintday!$A$6:$C$32, 2, FALSE)</f>
        <v>46174</v>
      </c>
      <c r="G102" s="70">
        <f>VLOOKUP(E102, sprintday!$A$6:$C$32, 3, FALSE)</f>
        <v>46185</v>
      </c>
      <c r="H102" s="87">
        <v>1</v>
      </c>
      <c r="I102" s="86" t="s">
        <v>327</v>
      </c>
      <c r="J102" s="12" t="s">
        <v>535</v>
      </c>
      <c r="K102" s="12"/>
    </row>
    <row r="103" spans="1:11">
      <c r="A103" t="s">
        <v>338</v>
      </c>
      <c r="B103" t="s">
        <v>169</v>
      </c>
      <c r="C103" t="s">
        <v>536</v>
      </c>
      <c r="D103" s="149" t="s">
        <v>537</v>
      </c>
      <c r="E103">
        <v>28</v>
      </c>
      <c r="F103" s="70">
        <f>VLOOKUP(E103, sprintday!$A$6:$C$32, 2, FALSE)</f>
        <v>46160</v>
      </c>
      <c r="G103" s="70">
        <f>VLOOKUP(E103, sprintday!$A$6:$C$32, 3, FALSE)</f>
        <v>46171</v>
      </c>
      <c r="H103" s="87">
        <v>1</v>
      </c>
      <c r="I103" s="86" t="s">
        <v>539</v>
      </c>
      <c r="J103" s="12" t="s">
        <v>539</v>
      </c>
    </row>
    <row r="104" spans="1:11">
      <c r="A104" t="s">
        <v>338</v>
      </c>
      <c r="B104" t="s">
        <v>169</v>
      </c>
      <c r="C104" t="s">
        <v>540</v>
      </c>
      <c r="D104" s="149" t="s">
        <v>541</v>
      </c>
      <c r="E104">
        <v>28</v>
      </c>
      <c r="F104" s="70">
        <f>VLOOKUP(E104, sprintday!$A$6:$C$32, 2, FALSE)</f>
        <v>46160</v>
      </c>
      <c r="G104" s="70">
        <f>VLOOKUP(E104, sprintday!$A$6:$C$32, 3, FALSE)</f>
        <v>46171</v>
      </c>
      <c r="H104" s="87">
        <v>1</v>
      </c>
      <c r="I104" s="86" t="s">
        <v>539</v>
      </c>
      <c r="J104" s="12" t="s">
        <v>539</v>
      </c>
    </row>
    <row r="105" spans="1:11">
      <c r="A105" t="s">
        <v>338</v>
      </c>
      <c r="B105" t="s">
        <v>169</v>
      </c>
      <c r="C105" t="s">
        <v>542</v>
      </c>
      <c r="D105" t="s">
        <v>543</v>
      </c>
      <c r="E105">
        <v>28</v>
      </c>
      <c r="F105" s="70">
        <f>VLOOKUP(E105, sprintday!$A$6:$C$32, 2, FALSE)</f>
        <v>46160</v>
      </c>
      <c r="G105" s="70">
        <f>VLOOKUP(E105, sprintday!$A$6:$C$32, 3, FALSE)</f>
        <v>46171</v>
      </c>
      <c r="H105" s="87">
        <v>1</v>
      </c>
      <c r="I105" s="86" t="s">
        <v>327</v>
      </c>
      <c r="J105" s="12"/>
      <c r="K105" s="12"/>
    </row>
    <row r="106" spans="1:11">
      <c r="A106" t="s">
        <v>338</v>
      </c>
      <c r="B106" t="s">
        <v>169</v>
      </c>
      <c r="C106" t="s">
        <v>544</v>
      </c>
      <c r="D106" t="s">
        <v>545</v>
      </c>
      <c r="E106">
        <v>28</v>
      </c>
      <c r="F106" s="70">
        <f>VLOOKUP(E106, sprintday!$A$6:$C$32, 2, FALSE)</f>
        <v>46160</v>
      </c>
      <c r="G106" s="70">
        <f>VLOOKUP(E106, sprintday!$A$6:$C$32, 3, FALSE)</f>
        <v>46171</v>
      </c>
      <c r="H106" s="87">
        <v>1</v>
      </c>
      <c r="I106" s="86" t="s">
        <v>327</v>
      </c>
    </row>
    <row r="107" spans="1:11" s="150" customFormat="1">
      <c r="A107" s="150" t="s">
        <v>338</v>
      </c>
      <c r="B107" s="150" t="s">
        <v>169</v>
      </c>
      <c r="D107" s="150" t="s">
        <v>546</v>
      </c>
      <c r="E107" s="150">
        <v>28</v>
      </c>
      <c r="F107" s="152">
        <f>VLOOKUP(E107, sprintday!$A$6:$C$32, 2, FALSE)</f>
        <v>46160</v>
      </c>
      <c r="G107" s="152">
        <f>VLOOKUP(E107, sprintday!$A$6:$C$32, 3, FALSE)</f>
        <v>46171</v>
      </c>
      <c r="H107" s="153">
        <v>1</v>
      </c>
      <c r="I107" s="154" t="s">
        <v>548</v>
      </c>
      <c r="J107" s="151" t="s">
        <v>746</v>
      </c>
      <c r="K107" s="151"/>
    </row>
    <row r="108" spans="1:11">
      <c r="A108" t="s">
        <v>323</v>
      </c>
      <c r="B108" t="s">
        <v>349</v>
      </c>
      <c r="C108" t="s">
        <v>549</v>
      </c>
      <c r="D108" t="s">
        <v>550</v>
      </c>
      <c r="E108">
        <v>29</v>
      </c>
      <c r="F108" s="70">
        <f>VLOOKUP(E108, sprintday!$A$6:$C$32, 2, FALSE)</f>
        <v>46174</v>
      </c>
      <c r="G108" s="70">
        <f>VLOOKUP(E108, sprintday!$A$6:$C$32, 3, FALSE)</f>
        <v>46185</v>
      </c>
      <c r="H108" s="87">
        <v>1</v>
      </c>
      <c r="I108" s="86" t="s">
        <v>327</v>
      </c>
    </row>
    <row r="109" spans="1:11">
      <c r="A109" t="s">
        <v>338</v>
      </c>
      <c r="B109" t="s">
        <v>169</v>
      </c>
      <c r="C109" t="s">
        <v>551</v>
      </c>
      <c r="D109" t="s">
        <v>552</v>
      </c>
      <c r="E109">
        <v>29</v>
      </c>
      <c r="F109" s="70">
        <f>VLOOKUP(E109, sprintday!$A$6:$C$32, 2, FALSE)</f>
        <v>46174</v>
      </c>
      <c r="G109" s="70">
        <f>VLOOKUP(E109, sprintday!$A$6:$C$32, 3, FALSE)</f>
        <v>46185</v>
      </c>
      <c r="H109" s="87">
        <v>1</v>
      </c>
      <c r="I109" s="86" t="s">
        <v>327</v>
      </c>
      <c r="J109" s="12" t="s">
        <v>535</v>
      </c>
      <c r="K109" s="12"/>
    </row>
    <row r="110" spans="1:11">
      <c r="A110" t="s">
        <v>338</v>
      </c>
      <c r="B110" t="s">
        <v>169</v>
      </c>
      <c r="C110" t="s">
        <v>553</v>
      </c>
      <c r="D110" t="s">
        <v>554</v>
      </c>
      <c r="E110">
        <v>29</v>
      </c>
      <c r="F110" s="70">
        <f>VLOOKUP(E110, sprintday!$A$6:$C$32, 2, FALSE)</f>
        <v>46174</v>
      </c>
      <c r="G110" s="70">
        <f>VLOOKUP(E110, sprintday!$A$6:$C$32, 3, FALSE)</f>
        <v>46185</v>
      </c>
      <c r="H110" s="87">
        <v>1</v>
      </c>
      <c r="I110" s="86" t="s">
        <v>327</v>
      </c>
      <c r="J110" s="86"/>
    </row>
    <row r="111" spans="1:11">
      <c r="A111" t="s">
        <v>338</v>
      </c>
      <c r="B111" t="s">
        <v>169</v>
      </c>
      <c r="C111" t="s">
        <v>555</v>
      </c>
      <c r="D111" t="s">
        <v>556</v>
      </c>
      <c r="E111">
        <v>29</v>
      </c>
      <c r="F111" s="70">
        <f>VLOOKUP(E111, sprintday!$A$6:$C$32, 2, FALSE)</f>
        <v>46174</v>
      </c>
      <c r="G111" s="70">
        <f>VLOOKUP(E111, sprintday!$A$6:$C$32, 3, FALSE)</f>
        <v>46185</v>
      </c>
      <c r="H111" s="87">
        <v>1</v>
      </c>
      <c r="I111" s="86" t="s">
        <v>327</v>
      </c>
      <c r="J111" s="86"/>
    </row>
    <row r="112" spans="1:11">
      <c r="A112" t="s">
        <v>338</v>
      </c>
      <c r="B112" t="s">
        <v>169</v>
      </c>
      <c r="C112" t="s">
        <v>557</v>
      </c>
      <c r="D112" t="s">
        <v>558</v>
      </c>
      <c r="E112">
        <v>29</v>
      </c>
      <c r="F112" s="70">
        <f>VLOOKUP(E112, sprintday!$A$6:$C$32, 2, FALSE)</f>
        <v>46174</v>
      </c>
      <c r="G112" s="70">
        <f>VLOOKUP(E112, sprintday!$A$6:$C$32, 3, FALSE)</f>
        <v>46185</v>
      </c>
      <c r="H112" s="87">
        <v>1</v>
      </c>
      <c r="I112" s="86" t="s">
        <v>327</v>
      </c>
      <c r="J112" s="86"/>
    </row>
    <row r="113" spans="1:10">
      <c r="A113" t="s">
        <v>338</v>
      </c>
      <c r="B113" t="s">
        <v>169</v>
      </c>
      <c r="C113" t="s">
        <v>555</v>
      </c>
      <c r="D113" t="s">
        <v>559</v>
      </c>
      <c r="E113">
        <v>29</v>
      </c>
      <c r="F113" s="70">
        <f>VLOOKUP(E113, sprintday!$A$6:$C$32, 2, FALSE)</f>
        <v>46174</v>
      </c>
      <c r="G113" s="70">
        <f>VLOOKUP(E113, sprintday!$A$6:$C$32, 3, FALSE)</f>
        <v>46185</v>
      </c>
      <c r="H113" s="87">
        <v>1</v>
      </c>
      <c r="I113" s="86" t="s">
        <v>327</v>
      </c>
      <c r="J113" s="86" t="s">
        <v>747</v>
      </c>
    </row>
    <row r="114" spans="1:10">
      <c r="A114" t="s">
        <v>338</v>
      </c>
      <c r="B114" t="s">
        <v>169</v>
      </c>
      <c r="C114" t="s">
        <v>562</v>
      </c>
      <c r="D114" t="s">
        <v>563</v>
      </c>
      <c r="E114">
        <v>29</v>
      </c>
      <c r="F114" s="70">
        <f>VLOOKUP(E114, sprintday!$A$6:$C$32, 2, FALSE)</f>
        <v>46174</v>
      </c>
      <c r="G114" s="70">
        <f>VLOOKUP(E114, sprintday!$A$6:$C$32, 3, FALSE)</f>
        <v>46185</v>
      </c>
      <c r="H114" s="87">
        <v>1</v>
      </c>
      <c r="I114" s="86" t="s">
        <v>327</v>
      </c>
      <c r="J114" s="86"/>
    </row>
    <row r="115" spans="1:10">
      <c r="A115" t="s">
        <v>338</v>
      </c>
      <c r="B115" t="s">
        <v>169</v>
      </c>
      <c r="C115" t="s">
        <v>564</v>
      </c>
      <c r="D115" t="s">
        <v>565</v>
      </c>
      <c r="E115">
        <v>30</v>
      </c>
      <c r="F115" s="70">
        <f>VLOOKUP(E115, sprintday!$A$6:$C$32, 2, FALSE)</f>
        <v>46188</v>
      </c>
      <c r="G115" s="70">
        <f>VLOOKUP(E115, sprintday!$A$6:$C$32, 3, FALSE)</f>
        <v>46199</v>
      </c>
      <c r="H115" s="87">
        <v>1</v>
      </c>
      <c r="I115" s="86" t="s">
        <v>327</v>
      </c>
      <c r="J115" s="86" t="s">
        <v>566</v>
      </c>
    </row>
    <row r="116" spans="1:10">
      <c r="A116" t="s">
        <v>338</v>
      </c>
      <c r="B116" t="s">
        <v>169</v>
      </c>
      <c r="C116" t="s">
        <v>567</v>
      </c>
      <c r="D116" t="s">
        <v>568</v>
      </c>
      <c r="E116">
        <v>30</v>
      </c>
      <c r="F116" s="70">
        <f>VLOOKUP(E116, sprintday!$A$6:$C$32, 2, FALSE)</f>
        <v>46188</v>
      </c>
      <c r="G116" s="70">
        <f>VLOOKUP(E116, sprintday!$A$6:$C$32, 3, FALSE)</f>
        <v>46199</v>
      </c>
      <c r="H116" s="87">
        <v>1</v>
      </c>
      <c r="I116" s="86" t="s">
        <v>327</v>
      </c>
      <c r="J116" s="86" t="s">
        <v>569</v>
      </c>
    </row>
    <row r="117" spans="1:10">
      <c r="A117" t="s">
        <v>338</v>
      </c>
      <c r="B117" t="s">
        <v>169</v>
      </c>
      <c r="C117" t="s">
        <v>570</v>
      </c>
      <c r="D117" t="s">
        <v>571</v>
      </c>
      <c r="E117">
        <v>30</v>
      </c>
      <c r="F117" s="70">
        <f>VLOOKUP(E117, sprintday!$A$6:$C$32, 2, FALSE)</f>
        <v>46188</v>
      </c>
      <c r="G117" s="70">
        <f>VLOOKUP(E117, sprintday!$A$6:$C$32, 3, FALSE)</f>
        <v>46199</v>
      </c>
      <c r="H117" s="87">
        <v>1</v>
      </c>
      <c r="I117" s="86" t="s">
        <v>327</v>
      </c>
      <c r="J117" s="86"/>
    </row>
    <row r="118" spans="1:10">
      <c r="A118" t="s">
        <v>338</v>
      </c>
      <c r="B118" t="s">
        <v>169</v>
      </c>
      <c r="C118" t="s">
        <v>572</v>
      </c>
      <c r="D118" t="s">
        <v>573</v>
      </c>
      <c r="E118">
        <v>30</v>
      </c>
      <c r="F118" s="70">
        <f>VLOOKUP(E118, sprintday!$A$6:$C$32, 2, FALSE)</f>
        <v>46188</v>
      </c>
      <c r="G118" s="70">
        <f>VLOOKUP(E118, sprintday!$A$6:$C$32, 3, FALSE)</f>
        <v>46199</v>
      </c>
      <c r="H118" s="87">
        <v>1</v>
      </c>
      <c r="I118" s="86" t="s">
        <v>327</v>
      </c>
      <c r="J118" s="12" t="s">
        <v>574</v>
      </c>
    </row>
    <row r="119" spans="1:10">
      <c r="C119" s="189" t="s">
        <v>575</v>
      </c>
      <c r="D119" s="190" t="s">
        <v>576</v>
      </c>
      <c r="E119">
        <v>30</v>
      </c>
      <c r="F119" s="70">
        <f>VLOOKUP(E119, sprintday!$A$6:$C$32, 2, FALSE)</f>
        <v>46188</v>
      </c>
      <c r="G119" s="70">
        <f>VLOOKUP(E119, sprintday!$A$6:$C$32, 3, FALSE)</f>
        <v>46199</v>
      </c>
      <c r="H119" s="327">
        <v>1</v>
      </c>
      <c r="I119" s="193" t="s">
        <v>327</v>
      </c>
      <c r="J119" s="12" t="s">
        <v>577</v>
      </c>
    </row>
    <row r="120" spans="1:10">
      <c r="C120" s="189" t="s">
        <v>578</v>
      </c>
      <c r="D120" s="190" t="s">
        <v>579</v>
      </c>
      <c r="E120">
        <v>30</v>
      </c>
      <c r="F120" s="70">
        <f>VLOOKUP(E120, sprintday!$A$6:$C$32, 2, FALSE)</f>
        <v>46188</v>
      </c>
      <c r="G120" s="70">
        <f>VLOOKUP(E120, sprintday!$A$6:$C$32, 3, FALSE)</f>
        <v>46199</v>
      </c>
      <c r="H120" s="327">
        <v>1</v>
      </c>
      <c r="I120" s="193" t="s">
        <v>327</v>
      </c>
      <c r="J120" s="12" t="s">
        <v>577</v>
      </c>
    </row>
    <row r="121" spans="1:10">
      <c r="C121" s="189" t="s">
        <v>580</v>
      </c>
      <c r="D121" s="190" t="s">
        <v>581</v>
      </c>
      <c r="E121">
        <v>30</v>
      </c>
      <c r="F121" s="70">
        <f>VLOOKUP(E121, sprintday!$A$6:$C$32, 2, FALSE)</f>
        <v>46188</v>
      </c>
      <c r="G121" s="70">
        <f>VLOOKUP(E121, sprintday!$A$6:$C$32, 3, FALSE)</f>
        <v>46199</v>
      </c>
      <c r="H121" s="327">
        <v>1</v>
      </c>
      <c r="I121" s="193" t="s">
        <v>327</v>
      </c>
      <c r="J121" s="12" t="s">
        <v>577</v>
      </c>
    </row>
    <row r="122" spans="1:10">
      <c r="C122" s="191" t="s">
        <v>582</v>
      </c>
      <c r="D122" s="192" t="s">
        <v>583</v>
      </c>
      <c r="E122">
        <v>30</v>
      </c>
      <c r="F122" s="70">
        <f>VLOOKUP(E122, sprintday!$A$6:$C$32, 2, FALSE)</f>
        <v>46188</v>
      </c>
      <c r="G122" s="70">
        <f>VLOOKUP(E122, sprintday!$A$6:$C$32, 3, FALSE)</f>
        <v>46199</v>
      </c>
      <c r="H122" s="327">
        <v>1</v>
      </c>
      <c r="I122" s="193" t="s">
        <v>327</v>
      </c>
      <c r="J122" s="12" t="s">
        <v>577</v>
      </c>
    </row>
    <row r="123" spans="1:10">
      <c r="C123" s="191" t="s">
        <v>584</v>
      </c>
      <c r="D123" s="192" t="s">
        <v>585</v>
      </c>
      <c r="E123">
        <v>30</v>
      </c>
      <c r="F123" s="70">
        <f>VLOOKUP(E123, sprintday!$A$6:$C$32, 2, FALSE)</f>
        <v>46188</v>
      </c>
      <c r="G123" s="70">
        <f>VLOOKUP(E123, sprintday!$A$6:$C$32, 3, FALSE)</f>
        <v>46199</v>
      </c>
      <c r="H123" s="327">
        <v>1</v>
      </c>
      <c r="I123" s="193" t="s">
        <v>327</v>
      </c>
      <c r="J123" s="12" t="s">
        <v>577</v>
      </c>
    </row>
    <row r="124" spans="1:10">
      <c r="C124" s="191" t="s">
        <v>586</v>
      </c>
      <c r="D124" s="192" t="s">
        <v>587</v>
      </c>
      <c r="E124">
        <v>30</v>
      </c>
      <c r="F124" s="70">
        <f>VLOOKUP(E124, sprintday!$A$6:$C$32, 2, FALSE)</f>
        <v>46188</v>
      </c>
      <c r="G124" s="70">
        <f>VLOOKUP(E124, sprintday!$A$6:$C$32, 3, FALSE)</f>
        <v>46199</v>
      </c>
      <c r="H124" s="327">
        <v>1</v>
      </c>
      <c r="I124" s="193" t="s">
        <v>327</v>
      </c>
      <c r="J124" s="12" t="s">
        <v>577</v>
      </c>
    </row>
    <row r="125" spans="1:10">
      <c r="C125" s="191" t="s">
        <v>588</v>
      </c>
      <c r="D125" s="192" t="s">
        <v>589</v>
      </c>
      <c r="E125">
        <v>30</v>
      </c>
      <c r="F125" s="70">
        <f>VLOOKUP(E125, sprintday!$A$6:$C$32, 2, FALSE)</f>
        <v>46188</v>
      </c>
      <c r="G125" s="70">
        <f>VLOOKUP(E125, sprintday!$A$6:$C$32, 3, FALSE)</f>
        <v>46199</v>
      </c>
      <c r="H125" s="327">
        <v>1</v>
      </c>
      <c r="I125" s="193" t="s">
        <v>327</v>
      </c>
      <c r="J125" s="12" t="s">
        <v>577</v>
      </c>
    </row>
    <row r="126" spans="1:10">
      <c r="A126" t="s">
        <v>338</v>
      </c>
      <c r="B126" t="s">
        <v>169</v>
      </c>
      <c r="C126" t="s">
        <v>590</v>
      </c>
      <c r="D126" t="s">
        <v>591</v>
      </c>
      <c r="E126">
        <v>31</v>
      </c>
      <c r="F126" s="70">
        <f>VLOOKUP(E126, sprintday!$A$6:$C$32, 2, FALSE)</f>
        <v>46202</v>
      </c>
      <c r="G126" s="70">
        <f>VLOOKUP(E126, sprintday!$A$6:$C$32, 3, FALSE)</f>
        <v>46213</v>
      </c>
      <c r="H126" s="87">
        <v>1</v>
      </c>
      <c r="I126" s="86" t="s">
        <v>327</v>
      </c>
      <c r="J126" s="86" t="s">
        <v>592</v>
      </c>
    </row>
    <row r="127" spans="1:10">
      <c r="A127" t="s">
        <v>338</v>
      </c>
      <c r="B127" t="s">
        <v>374</v>
      </c>
      <c r="C127" t="s">
        <v>593</v>
      </c>
      <c r="D127" t="s">
        <v>594</v>
      </c>
      <c r="E127">
        <v>31</v>
      </c>
      <c r="F127" s="70">
        <f>VLOOKUP(E127, sprintday!$A$6:$C$32, 2, FALSE)</f>
        <v>46202</v>
      </c>
      <c r="G127" s="70">
        <f>VLOOKUP(E127, sprintday!$A$6:$C$32, 3, FALSE)</f>
        <v>46213</v>
      </c>
      <c r="H127" s="87">
        <v>1</v>
      </c>
      <c r="I127" s="86" t="s">
        <v>327</v>
      </c>
      <c r="J127" s="86" t="s">
        <v>595</v>
      </c>
    </row>
    <row r="128" spans="1:10">
      <c r="A128" t="s">
        <v>338</v>
      </c>
      <c r="B128" t="s">
        <v>374</v>
      </c>
      <c r="C128" t="s">
        <v>596</v>
      </c>
      <c r="D128" t="s">
        <v>597</v>
      </c>
      <c r="E128">
        <v>31</v>
      </c>
      <c r="F128" s="70">
        <f>VLOOKUP(E128, sprintday!$A$6:$C$32, 2, FALSE)</f>
        <v>46202</v>
      </c>
      <c r="G128" s="70">
        <f>VLOOKUP(E128, sprintday!$A$6:$C$32, 3, FALSE)</f>
        <v>46213</v>
      </c>
      <c r="H128" s="87">
        <v>1</v>
      </c>
      <c r="I128" s="86" t="s">
        <v>327</v>
      </c>
      <c r="J128" s="86" t="s">
        <v>595</v>
      </c>
    </row>
    <row r="129" spans="1:10">
      <c r="A129" t="s">
        <v>338</v>
      </c>
      <c r="B129" t="s">
        <v>169</v>
      </c>
      <c r="C129" t="s">
        <v>598</v>
      </c>
      <c r="D129" t="s">
        <v>599</v>
      </c>
      <c r="E129">
        <v>31</v>
      </c>
      <c r="F129" s="70">
        <f>VLOOKUP(E129, sprintday!$A$6:$C$32, 2, FALSE)</f>
        <v>46202</v>
      </c>
      <c r="G129" s="70">
        <f>VLOOKUP(E129, sprintday!$A$6:$C$32, 3, FALSE)</f>
        <v>46213</v>
      </c>
      <c r="H129" s="87">
        <v>1</v>
      </c>
      <c r="I129" s="86"/>
      <c r="J129" s="86" t="s">
        <v>748</v>
      </c>
    </row>
    <row r="130" spans="1:10">
      <c r="A130" t="s">
        <v>338</v>
      </c>
      <c r="B130" t="s">
        <v>169</v>
      </c>
      <c r="C130" t="s">
        <v>600</v>
      </c>
      <c r="D130" t="s">
        <v>601</v>
      </c>
      <c r="E130">
        <v>31</v>
      </c>
      <c r="F130" s="70">
        <f>VLOOKUP(E130, sprintday!$A$6:$C$32, 2, FALSE)</f>
        <v>46202</v>
      </c>
      <c r="G130" s="70">
        <f>VLOOKUP(E130, sprintday!$A$6:$C$32, 3, FALSE)</f>
        <v>46213</v>
      </c>
      <c r="H130" s="87">
        <v>1</v>
      </c>
      <c r="I130" s="86"/>
      <c r="J130" s="86" t="s">
        <v>748</v>
      </c>
    </row>
    <row r="131" spans="1:10">
      <c r="A131" t="s">
        <v>338</v>
      </c>
      <c r="B131" t="s">
        <v>374</v>
      </c>
      <c r="C131" t="s">
        <v>602</v>
      </c>
      <c r="D131" t="s">
        <v>603</v>
      </c>
      <c r="E131">
        <v>32</v>
      </c>
      <c r="F131" s="70">
        <f>VLOOKUP(E131, sprintday!$A$6:$C$32, 2, FALSE)</f>
        <v>46216</v>
      </c>
      <c r="G131" s="70">
        <f>VLOOKUP(E131, sprintday!$A$6:$C$32, 3, FALSE)</f>
        <v>46227</v>
      </c>
      <c r="H131" s="87">
        <v>1</v>
      </c>
      <c r="I131" s="86" t="s">
        <v>327</v>
      </c>
      <c r="J131" s="86"/>
    </row>
    <row r="132" spans="1:10">
      <c r="A132" t="s">
        <v>338</v>
      </c>
      <c r="B132" t="s">
        <v>374</v>
      </c>
      <c r="C132" t="s">
        <v>604</v>
      </c>
      <c r="D132" t="s">
        <v>605</v>
      </c>
      <c r="E132">
        <v>32</v>
      </c>
      <c r="F132" s="70">
        <f>VLOOKUP(E132, sprintday!$A$6:$C$32, 2, FALSE)</f>
        <v>46216</v>
      </c>
      <c r="G132" s="70">
        <f>VLOOKUP(E132, sprintday!$A$6:$C$32, 3, FALSE)</f>
        <v>46227</v>
      </c>
      <c r="H132" s="87">
        <v>1</v>
      </c>
      <c r="I132" s="86" t="s">
        <v>327</v>
      </c>
      <c r="J132" s="86"/>
    </row>
    <row r="133" spans="1:10">
      <c r="A133" t="s">
        <v>338</v>
      </c>
      <c r="B133" t="s">
        <v>374</v>
      </c>
      <c r="C133" t="s">
        <v>606</v>
      </c>
      <c r="D133" t="s">
        <v>607</v>
      </c>
      <c r="E133">
        <v>32</v>
      </c>
      <c r="F133" s="70">
        <f>VLOOKUP(E133, sprintday!$A$6:$C$32, 2, FALSE)</f>
        <v>46216</v>
      </c>
      <c r="G133" s="70">
        <f>VLOOKUP(E133, sprintday!$A$6:$C$32, 3, FALSE)</f>
        <v>46227</v>
      </c>
      <c r="H133" s="87">
        <v>1</v>
      </c>
      <c r="I133" s="86" t="s">
        <v>327</v>
      </c>
      <c r="J133" s="86"/>
    </row>
    <row r="134" spans="1:10">
      <c r="A134" t="s">
        <v>338</v>
      </c>
      <c r="B134" t="s">
        <v>374</v>
      </c>
      <c r="C134" t="s">
        <v>608</v>
      </c>
      <c r="D134" t="s">
        <v>609</v>
      </c>
      <c r="E134">
        <v>32</v>
      </c>
      <c r="F134" s="70">
        <f>VLOOKUP(E134, sprintday!$A$6:$C$32, 2, FALSE)</f>
        <v>46216</v>
      </c>
      <c r="G134" s="70">
        <f>VLOOKUP(E134, sprintday!$A$6:$C$32, 3, FALSE)</f>
        <v>46227</v>
      </c>
      <c r="H134" s="87">
        <v>1</v>
      </c>
      <c r="I134" s="86"/>
      <c r="J134" s="86" t="s">
        <v>611</v>
      </c>
    </row>
    <row r="135" spans="1:10">
      <c r="A135" t="s">
        <v>338</v>
      </c>
      <c r="B135" t="s">
        <v>294</v>
      </c>
      <c r="C135" t="s">
        <v>612</v>
      </c>
      <c r="D135" t="s">
        <v>613</v>
      </c>
      <c r="E135">
        <v>32</v>
      </c>
      <c r="F135" s="70">
        <f>VLOOKUP(E135, sprintday!$A$6:$C$32, 2, FALSE)</f>
        <v>46216</v>
      </c>
      <c r="G135" s="70">
        <f>VLOOKUP(E135, sprintday!$A$6:$C$32, 3, FALSE)</f>
        <v>46227</v>
      </c>
      <c r="H135" s="87">
        <v>1</v>
      </c>
      <c r="I135" s="86"/>
      <c r="J135" s="86" t="s">
        <v>611</v>
      </c>
    </row>
    <row r="136" spans="1:10">
      <c r="A136" t="s">
        <v>338</v>
      </c>
      <c r="B136" t="s">
        <v>374</v>
      </c>
      <c r="C136" t="s">
        <v>614</v>
      </c>
      <c r="D136" t="s">
        <v>615</v>
      </c>
      <c r="E136">
        <v>32</v>
      </c>
      <c r="F136" s="70">
        <f>VLOOKUP(E136, sprintday!$A$6:$C$32, 2, FALSE)</f>
        <v>46216</v>
      </c>
      <c r="G136" s="70">
        <f>VLOOKUP(E136, sprintday!$A$6:$C$32, 3, FALSE)</f>
        <v>46227</v>
      </c>
      <c r="H136" s="87">
        <v>1</v>
      </c>
      <c r="I136" s="86"/>
      <c r="J136" s="86" t="s">
        <v>616</v>
      </c>
    </row>
    <row r="137" spans="1:10">
      <c r="A137" t="s">
        <v>338</v>
      </c>
      <c r="B137" t="s">
        <v>374</v>
      </c>
      <c r="C137" t="s">
        <v>617</v>
      </c>
      <c r="D137" t="s">
        <v>618</v>
      </c>
      <c r="E137">
        <v>32</v>
      </c>
      <c r="F137" s="70">
        <f>VLOOKUP(E137, sprintday!$A$6:$C$32, 2, FALSE)</f>
        <v>46216</v>
      </c>
      <c r="G137" s="70">
        <f>VLOOKUP(E137, sprintday!$A$6:$C$32, 3, FALSE)</f>
        <v>46227</v>
      </c>
      <c r="H137" s="87">
        <v>1</v>
      </c>
      <c r="I137" s="86"/>
      <c r="J137" s="86" t="s">
        <v>616</v>
      </c>
    </row>
    <row r="138" spans="1:10">
      <c r="A138" t="s">
        <v>338</v>
      </c>
      <c r="B138" t="s">
        <v>374</v>
      </c>
      <c r="C138" t="s">
        <v>619</v>
      </c>
      <c r="D138" t="s">
        <v>620</v>
      </c>
      <c r="E138">
        <v>32</v>
      </c>
      <c r="F138" s="70">
        <f>VLOOKUP(E138, sprintday!$A$6:$C$32, 2, FALSE)</f>
        <v>46216</v>
      </c>
      <c r="G138" s="70">
        <f>VLOOKUP(E138, sprintday!$A$6:$C$32, 3, FALSE)</f>
        <v>46227</v>
      </c>
      <c r="H138" s="87">
        <v>1</v>
      </c>
      <c r="I138" s="86"/>
      <c r="J138" s="86" t="s">
        <v>616</v>
      </c>
    </row>
    <row r="139" spans="1:10">
      <c r="A139" t="s">
        <v>338</v>
      </c>
      <c r="B139" t="s">
        <v>374</v>
      </c>
      <c r="C139" t="s">
        <v>621</v>
      </c>
      <c r="D139" t="s">
        <v>622</v>
      </c>
      <c r="E139">
        <v>32</v>
      </c>
      <c r="F139" s="70">
        <f>VLOOKUP(E139, sprintday!$A$6:$C$32, 2, FALSE)</f>
        <v>46216</v>
      </c>
      <c r="G139" s="70">
        <f>VLOOKUP(E139, sprintday!$A$6:$C$32, 3, FALSE)</f>
        <v>46227</v>
      </c>
      <c r="H139" s="87">
        <v>1</v>
      </c>
      <c r="I139" s="86"/>
      <c r="J139" s="86" t="s">
        <v>616</v>
      </c>
    </row>
    <row r="140" spans="1:10">
      <c r="A140" t="s">
        <v>338</v>
      </c>
      <c r="B140" t="s">
        <v>374</v>
      </c>
      <c r="C140" t="s">
        <v>623</v>
      </c>
      <c r="D140" t="s">
        <v>624</v>
      </c>
      <c r="E140">
        <v>32</v>
      </c>
      <c r="F140" s="70">
        <f>VLOOKUP(E140, sprintday!$A$6:$C$32, 2, FALSE)</f>
        <v>46216</v>
      </c>
      <c r="G140" s="70">
        <f>VLOOKUP(E140, sprintday!$A$6:$C$32, 3, FALSE)</f>
        <v>46227</v>
      </c>
      <c r="H140" s="87">
        <v>1</v>
      </c>
      <c r="I140" s="86"/>
      <c r="J140" s="86" t="s">
        <v>616</v>
      </c>
    </row>
    <row r="141" spans="1:10">
      <c r="A141" t="s">
        <v>338</v>
      </c>
      <c r="B141" t="s">
        <v>374</v>
      </c>
      <c r="C141" t="s">
        <v>625</v>
      </c>
      <c r="D141" t="s">
        <v>626</v>
      </c>
      <c r="E141">
        <v>32</v>
      </c>
      <c r="F141" s="70">
        <f>VLOOKUP(E141, sprintday!$A$6:$C$32, 2, FALSE)</f>
        <v>46216</v>
      </c>
      <c r="G141" s="70">
        <f>VLOOKUP(E141, sprintday!$A$6:$C$32, 3, FALSE)</f>
        <v>46227</v>
      </c>
      <c r="H141" s="87">
        <v>1</v>
      </c>
      <c r="I141" s="86"/>
      <c r="J141" s="86" t="s">
        <v>616</v>
      </c>
    </row>
    <row r="142" spans="1:10">
      <c r="A142" t="s">
        <v>338</v>
      </c>
      <c r="B142" t="s">
        <v>374</v>
      </c>
      <c r="C142" t="s">
        <v>627</v>
      </c>
      <c r="D142" t="s">
        <v>628</v>
      </c>
      <c r="E142">
        <v>32</v>
      </c>
      <c r="F142" s="70">
        <f>VLOOKUP(E142, sprintday!$A$6:$C$32, 2, FALSE)</f>
        <v>46216</v>
      </c>
      <c r="G142" s="70">
        <f>VLOOKUP(E142, sprintday!$A$6:$C$32, 3, FALSE)</f>
        <v>46227</v>
      </c>
      <c r="H142" s="87">
        <v>1</v>
      </c>
      <c r="I142" s="86"/>
      <c r="J142" s="86" t="s">
        <v>616</v>
      </c>
    </row>
    <row r="143" spans="1:10">
      <c r="A143" t="s">
        <v>338</v>
      </c>
      <c r="B143" t="s">
        <v>374</v>
      </c>
      <c r="C143" t="s">
        <v>629</v>
      </c>
      <c r="D143" t="s">
        <v>630</v>
      </c>
      <c r="E143">
        <v>32</v>
      </c>
      <c r="F143" s="70">
        <f>VLOOKUP(E143, sprintday!$A$6:$C$32, 2, FALSE)</f>
        <v>46216</v>
      </c>
      <c r="G143" s="70">
        <f>VLOOKUP(E143, sprintday!$A$6:$C$32, 3, FALSE)</f>
        <v>46227</v>
      </c>
      <c r="H143" s="87">
        <v>1</v>
      </c>
      <c r="I143" s="86"/>
      <c r="J143" s="86" t="s">
        <v>616</v>
      </c>
    </row>
    <row r="144" spans="1:10">
      <c r="A144" t="s">
        <v>338</v>
      </c>
      <c r="B144" t="s">
        <v>374</v>
      </c>
      <c r="C144" t="s">
        <v>631</v>
      </c>
      <c r="D144" t="s">
        <v>632</v>
      </c>
      <c r="E144">
        <v>32</v>
      </c>
      <c r="F144" s="70">
        <f>VLOOKUP(E144, sprintday!$A$6:$C$32, 2, FALSE)</f>
        <v>46216</v>
      </c>
      <c r="G144" s="70">
        <f>VLOOKUP(E144, sprintday!$A$6:$C$32, 3, FALSE)</f>
        <v>46227</v>
      </c>
      <c r="H144" s="87">
        <v>1</v>
      </c>
      <c r="I144" s="86"/>
      <c r="J144" s="86" t="s">
        <v>616</v>
      </c>
    </row>
    <row r="145" spans="1:10">
      <c r="A145" t="s">
        <v>338</v>
      </c>
      <c r="B145" t="s">
        <v>374</v>
      </c>
      <c r="C145" t="s">
        <v>633</v>
      </c>
      <c r="D145" t="s">
        <v>634</v>
      </c>
      <c r="E145">
        <v>32</v>
      </c>
      <c r="F145" s="70">
        <f>VLOOKUP(E145, sprintday!$A$6:$C$32, 2, FALSE)</f>
        <v>46216</v>
      </c>
      <c r="G145" s="70">
        <f>VLOOKUP(E145, sprintday!$A$6:$C$32, 3, FALSE)</f>
        <v>46227</v>
      </c>
      <c r="H145" s="87">
        <v>1</v>
      </c>
      <c r="I145" s="86"/>
      <c r="J145" s="86" t="s">
        <v>616</v>
      </c>
    </row>
    <row r="146" spans="1:10">
      <c r="A146" t="s">
        <v>338</v>
      </c>
      <c r="B146" t="s">
        <v>294</v>
      </c>
      <c r="C146" t="s">
        <v>635</v>
      </c>
      <c r="D146" t="s">
        <v>636</v>
      </c>
      <c r="E146">
        <v>33</v>
      </c>
      <c r="F146" s="70">
        <f>VLOOKUP(E146, sprintday!$A$6:$C$32, 2, FALSE)</f>
        <v>46230</v>
      </c>
      <c r="G146" s="70">
        <f>VLOOKUP(E146, sprintday!$A$6:$C$32, 3, FALSE)</f>
        <v>46241</v>
      </c>
      <c r="H146" s="87">
        <v>0</v>
      </c>
      <c r="I146" s="86" t="s">
        <v>327</v>
      </c>
      <c r="J146" s="86"/>
    </row>
    <row r="147" spans="1:10">
      <c r="A147" t="s">
        <v>338</v>
      </c>
      <c r="B147" t="s">
        <v>296</v>
      </c>
      <c r="C147" t="s">
        <v>637</v>
      </c>
      <c r="D147" t="s">
        <v>638</v>
      </c>
      <c r="E147">
        <v>33</v>
      </c>
      <c r="F147" s="70">
        <f>VLOOKUP(E147, sprintday!$A$6:$C$32, 2, FALSE)</f>
        <v>46230</v>
      </c>
      <c r="G147" s="70">
        <f>VLOOKUP(E147, sprintday!$A$6:$C$32, 3, FALSE)</f>
        <v>46241</v>
      </c>
      <c r="H147" s="87">
        <v>0</v>
      </c>
      <c r="I147" s="86" t="s">
        <v>327</v>
      </c>
      <c r="J147" s="86"/>
    </row>
    <row r="148" spans="1:10">
      <c r="A148" t="s">
        <v>338</v>
      </c>
      <c r="B148" t="s">
        <v>296</v>
      </c>
      <c r="D148" t="s">
        <v>639</v>
      </c>
      <c r="E148">
        <v>33</v>
      </c>
      <c r="F148" s="70">
        <f>VLOOKUP(E148, sprintday!$A$6:$C$32, 2, FALSE)</f>
        <v>46230</v>
      </c>
      <c r="G148" s="70">
        <f>VLOOKUP(E148, sprintday!$A$6:$C$32, 3, FALSE)</f>
        <v>46241</v>
      </c>
      <c r="H148" s="87">
        <v>0</v>
      </c>
      <c r="I148" s="86" t="s">
        <v>327</v>
      </c>
      <c r="J148" s="86"/>
    </row>
    <row r="149" spans="1:10">
      <c r="A149" t="s">
        <v>338</v>
      </c>
      <c r="B149" t="s">
        <v>296</v>
      </c>
      <c r="D149" t="s">
        <v>640</v>
      </c>
      <c r="E149">
        <v>34</v>
      </c>
      <c r="F149" s="70">
        <f>VLOOKUP(E149, sprintday!$A$6:$C$32, 2, FALSE)</f>
        <v>46244</v>
      </c>
      <c r="G149" s="70">
        <f>VLOOKUP(E149, sprintday!$A$6:$C$32, 3, FALSE)</f>
        <v>46255</v>
      </c>
      <c r="H149" s="87">
        <v>0</v>
      </c>
      <c r="I149" s="86" t="s">
        <v>327</v>
      </c>
      <c r="J149" s="86"/>
    </row>
    <row r="150" spans="1:10">
      <c r="A150" t="s">
        <v>338</v>
      </c>
      <c r="B150" t="s">
        <v>296</v>
      </c>
      <c r="D150" t="s">
        <v>641</v>
      </c>
      <c r="E150">
        <v>34</v>
      </c>
      <c r="F150" s="70">
        <f>VLOOKUP(E150, sprintday!$A$6:$C$32, 2, FALSE)</f>
        <v>46244</v>
      </c>
      <c r="G150" s="70">
        <f>VLOOKUP(E150, sprintday!$A$6:$C$32, 3, FALSE)</f>
        <v>46255</v>
      </c>
      <c r="H150" s="87">
        <v>0</v>
      </c>
      <c r="I150" s="86" t="s">
        <v>327</v>
      </c>
      <c r="J150" s="86"/>
    </row>
    <row r="151" spans="1:10">
      <c r="A151" t="s">
        <v>338</v>
      </c>
      <c r="B151" t="s">
        <v>298</v>
      </c>
      <c r="D151" t="s">
        <v>642</v>
      </c>
      <c r="E151">
        <v>34</v>
      </c>
      <c r="F151" s="70">
        <f>VLOOKUP(E151, sprintday!$A$6:$C$32, 2, FALSE)</f>
        <v>46244</v>
      </c>
      <c r="G151" s="70">
        <f>VLOOKUP(E151, sprintday!$A$6:$C$32, 3, FALSE)</f>
        <v>46255</v>
      </c>
      <c r="H151" s="87">
        <v>0</v>
      </c>
      <c r="I151" s="86" t="s">
        <v>327</v>
      </c>
      <c r="J151" s="86" t="s">
        <v>643</v>
      </c>
    </row>
    <row r="152" spans="1:10">
      <c r="A152" t="s">
        <v>338</v>
      </c>
      <c r="B152" t="s">
        <v>298</v>
      </c>
      <c r="D152" t="s">
        <v>644</v>
      </c>
      <c r="E152">
        <v>35</v>
      </c>
      <c r="F152" s="70">
        <f>VLOOKUP(E152, sprintday!$A$6:$C$32, 2, FALSE)</f>
        <v>46258</v>
      </c>
      <c r="G152" s="70">
        <f>VLOOKUP(E152, sprintday!$A$6:$C$32, 3, FALSE)</f>
        <v>46269</v>
      </c>
      <c r="H152" s="87">
        <v>0</v>
      </c>
      <c r="I152" s="86" t="s">
        <v>327</v>
      </c>
      <c r="J152" s="86" t="s">
        <v>645</v>
      </c>
    </row>
    <row r="153" spans="1:10">
      <c r="A153" t="s">
        <v>338</v>
      </c>
      <c r="B153" t="s">
        <v>298</v>
      </c>
      <c r="D153" t="s">
        <v>646</v>
      </c>
      <c r="E153">
        <v>35</v>
      </c>
      <c r="F153" s="70">
        <f>VLOOKUP(E153, sprintday!$A$6:$C$32, 2, FALSE)</f>
        <v>46258</v>
      </c>
      <c r="G153" s="70">
        <f>VLOOKUP(E153, sprintday!$A$6:$C$32, 3, FALSE)</f>
        <v>46269</v>
      </c>
      <c r="H153" s="87">
        <v>0</v>
      </c>
      <c r="I153" s="86" t="s">
        <v>327</v>
      </c>
      <c r="J153" s="86" t="s">
        <v>647</v>
      </c>
    </row>
    <row r="154" spans="1:10">
      <c r="A154" t="s">
        <v>338</v>
      </c>
      <c r="B154" t="s">
        <v>300</v>
      </c>
      <c r="D154" t="s">
        <v>648</v>
      </c>
      <c r="E154">
        <v>35</v>
      </c>
      <c r="F154" s="70">
        <f>VLOOKUP(E154, sprintday!$A$6:$C$32, 2, FALSE)</f>
        <v>46258</v>
      </c>
      <c r="G154" s="70">
        <f>VLOOKUP(E154, sprintday!$A$6:$C$32, 3, FALSE)</f>
        <v>46269</v>
      </c>
      <c r="H154" s="87">
        <v>0</v>
      </c>
      <c r="I154" s="86" t="s">
        <v>327</v>
      </c>
      <c r="J154" s="86"/>
    </row>
    <row r="155" spans="1:10">
      <c r="A155" t="s">
        <v>338</v>
      </c>
      <c r="B155" t="s">
        <v>300</v>
      </c>
      <c r="D155" t="s">
        <v>649</v>
      </c>
      <c r="E155">
        <v>35</v>
      </c>
      <c r="F155" s="70">
        <f>VLOOKUP(E155, sprintday!$A$6:$C$32, 2, FALSE)</f>
        <v>46258</v>
      </c>
      <c r="G155" s="70">
        <f>VLOOKUP(E155, sprintday!$A$6:$C$32, 3, FALSE)</f>
        <v>46269</v>
      </c>
      <c r="H155" s="87">
        <v>0</v>
      </c>
      <c r="I155" s="86" t="s">
        <v>327</v>
      </c>
      <c r="J155" s="86"/>
    </row>
    <row r="156" spans="1:10">
      <c r="A156" t="s">
        <v>343</v>
      </c>
      <c r="B156" t="s">
        <v>301</v>
      </c>
      <c r="D156" t="s">
        <v>650</v>
      </c>
      <c r="E156">
        <v>36</v>
      </c>
      <c r="F156" s="70">
        <f>VLOOKUP(E156, sprintday!$A$6:$C$32, 2, FALSE)</f>
        <v>46272</v>
      </c>
      <c r="G156" s="70">
        <f>VLOOKUP(E156, sprintday!$A$6:$C$32, 3, FALSE)</f>
        <v>46283</v>
      </c>
      <c r="H156" s="87">
        <v>0</v>
      </c>
      <c r="I156" s="86" t="s">
        <v>327</v>
      </c>
      <c r="J156" s="86"/>
    </row>
    <row r="157" spans="1:10">
      <c r="A157" t="s">
        <v>343</v>
      </c>
      <c r="B157" t="s">
        <v>301</v>
      </c>
      <c r="D157" t="s">
        <v>651</v>
      </c>
      <c r="E157">
        <v>37</v>
      </c>
      <c r="F157" s="70">
        <f>VLOOKUP(E157, sprintday!$A$6:$C$32, 2, FALSE)</f>
        <v>46286</v>
      </c>
      <c r="G157" s="70">
        <f>VLOOKUP(E157, sprintday!$A$6:$C$32, 3, FALSE)</f>
        <v>46297</v>
      </c>
      <c r="H157" s="87">
        <v>0</v>
      </c>
      <c r="I157" s="86" t="s">
        <v>327</v>
      </c>
      <c r="J157" s="86"/>
    </row>
    <row r="158" spans="1:10">
      <c r="A158" t="s">
        <v>343</v>
      </c>
      <c r="B158" t="s">
        <v>303</v>
      </c>
      <c r="D158" t="s">
        <v>652</v>
      </c>
      <c r="E158">
        <v>38</v>
      </c>
      <c r="F158" s="70">
        <f>VLOOKUP(E158, sprintday!$A$6:$C$32, 2, FALSE)</f>
        <v>46300</v>
      </c>
      <c r="G158" s="70">
        <f>VLOOKUP(E158, sprintday!$A$6:$C$32, 3, FALSE)</f>
        <v>46311</v>
      </c>
      <c r="H158" s="87">
        <v>0</v>
      </c>
      <c r="I158" s="86" t="s">
        <v>327</v>
      </c>
      <c r="J158" s="86"/>
    </row>
    <row r="159" spans="1:10">
      <c r="A159" t="s">
        <v>343</v>
      </c>
      <c r="B159" t="s">
        <v>303</v>
      </c>
      <c r="D159" t="s">
        <v>653</v>
      </c>
      <c r="E159">
        <v>39</v>
      </c>
      <c r="F159" s="70">
        <f>VLOOKUP(E159, sprintday!$A$6:$C$32, 2, FALSE)</f>
        <v>46314</v>
      </c>
      <c r="G159" s="70">
        <f>VLOOKUP(E159, sprintday!$A$6:$C$32, 3, FALSE)</f>
        <v>46325</v>
      </c>
      <c r="H159" s="87">
        <v>0</v>
      </c>
      <c r="I159" s="86" t="s">
        <v>327</v>
      </c>
      <c r="J159" s="86"/>
    </row>
    <row r="160" spans="1:10">
      <c r="A160" t="s">
        <v>343</v>
      </c>
      <c r="B160" t="s">
        <v>303</v>
      </c>
      <c r="D160" t="s">
        <v>654</v>
      </c>
      <c r="E160">
        <v>40</v>
      </c>
      <c r="F160" s="70">
        <f>VLOOKUP(E160, sprintday!$A$6:$C$32, 2, FALSE)</f>
        <v>46328</v>
      </c>
      <c r="G160" s="70">
        <f>VLOOKUP(E160, sprintday!$A$6:$C$32, 3, FALSE)</f>
        <v>46339</v>
      </c>
      <c r="H160" s="87">
        <v>0</v>
      </c>
      <c r="I160" s="86" t="s">
        <v>327</v>
      </c>
      <c r="J160" s="86"/>
    </row>
    <row r="161" spans="1:10">
      <c r="A161" t="s">
        <v>343</v>
      </c>
      <c r="B161" t="s">
        <v>303</v>
      </c>
      <c r="D161" t="s">
        <v>655</v>
      </c>
      <c r="E161">
        <v>41</v>
      </c>
      <c r="F161" s="70">
        <f>VLOOKUP(E161, sprintday!$A$6:$C$32, 2, FALSE)</f>
        <v>46342</v>
      </c>
      <c r="G161" s="70">
        <f>VLOOKUP(E161, sprintday!$A$6:$C$32, 3, FALSE)</f>
        <v>46353</v>
      </c>
      <c r="H161" s="87">
        <v>0</v>
      </c>
      <c r="I161" s="86" t="s">
        <v>327</v>
      </c>
      <c r="J161" s="86"/>
    </row>
    <row r="162" spans="1:10">
      <c r="A162" t="s">
        <v>335</v>
      </c>
      <c r="B162" t="s">
        <v>305</v>
      </c>
      <c r="D162" t="s">
        <v>656</v>
      </c>
      <c r="E162">
        <v>42</v>
      </c>
      <c r="F162" s="70">
        <f>VLOOKUP(E162, sprintday!$A$6:$C$32, 2, FALSE)</f>
        <v>46356</v>
      </c>
      <c r="G162" s="70">
        <f>VLOOKUP(E162, sprintday!$A$6:$C$32, 3, FALSE)</f>
        <v>46367</v>
      </c>
      <c r="H162" s="87">
        <v>0</v>
      </c>
      <c r="I162" s="86" t="s">
        <v>327</v>
      </c>
      <c r="J162" s="86"/>
    </row>
    <row r="163" spans="1:10">
      <c r="A163" t="s">
        <v>335</v>
      </c>
      <c r="B163" t="s">
        <v>306</v>
      </c>
      <c r="D163" t="s">
        <v>657</v>
      </c>
      <c r="E163">
        <v>43</v>
      </c>
      <c r="F163" s="70">
        <f>VLOOKUP(E163, sprintday!$A$6:$C$32, 2, FALSE)</f>
        <v>46370</v>
      </c>
      <c r="G163" s="70">
        <f>VLOOKUP(E163, sprintday!$A$6:$C$32, 3, FALSE)</f>
        <v>46381</v>
      </c>
      <c r="H163" s="87">
        <v>0</v>
      </c>
      <c r="I163" s="86" t="s">
        <v>327</v>
      </c>
      <c r="J163" s="86"/>
    </row>
  </sheetData>
  <autoFilter ref="A1:T163" xr:uid="{00000000-0009-0000-0000-000013000000}"/>
  <hyperlinks>
    <hyperlink ref="C111" r:id="rId3" xr:uid="{00000000-0004-0000-1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dashboard v1</vt:lpstr>
      <vt:lpstr>Baseline V1</vt:lpstr>
      <vt:lpstr>Baseline V2</vt:lpstr>
      <vt:lpstr>Master Plan V1</vt:lpstr>
      <vt:lpstr>Master Plan V2</vt:lpstr>
      <vt:lpstr>master Plan V3</vt:lpstr>
      <vt:lpstr>master plan V4</vt:lpstr>
      <vt:lpstr>master plan V5</vt:lpstr>
      <vt:lpstr>Requirement Baseline v5</vt:lpstr>
      <vt:lpstr>master plan v6</vt:lpstr>
      <vt:lpstr>master plan bk1</vt:lpstr>
      <vt:lpstr>baseline v4</vt:lpstr>
      <vt:lpstr>summary</vt:lpstr>
      <vt:lpstr>dashboard</vt:lpstr>
      <vt:lpstr>dashboard v2</vt:lpstr>
      <vt:lpstr>master plan</vt:lpstr>
      <vt:lpstr>baseline</vt:lpstr>
      <vt:lpstr>sprintday</vt:lpstr>
      <vt:lpstr>holiday</vt:lpstr>
      <vt:lpstr>baseline V3</vt:lpstr>
      <vt:lpstr>baseline!tb_baseline</vt:lpstr>
      <vt:lpstr>'baseline V3'!tb_baseline</vt:lpstr>
      <vt:lpstr>dashboard!tb_baseline</vt:lpstr>
      <vt:lpstr>'dashboard v2'!tb_baseline</vt:lpstr>
      <vt:lpstr>tb_baseline</vt:lpstr>
      <vt:lpstr>tb_sprintday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Parinya Kamnoed</cp:lastModifiedBy>
  <dcterms:created xsi:type="dcterms:W3CDTF">2026-05-05T08:43:58Z</dcterms:created>
  <dcterms:modified xsi:type="dcterms:W3CDTF">2026-08-24T10:36:23Z</dcterms:modified>
</cp:coreProperties>
</file>